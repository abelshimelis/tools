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pital Adequacy" sheetId="4" state="visible" r:id="rId4"/>
    <sheet name="Cash Flow" sheetId="5" state="visible" r:id="rId5"/>
    <sheet name="Summary Dashboard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;\(0.0%\);\-"/>
    <numFmt numFmtId="165" formatCode="0.00%;\(0.00%\);\-"/>
    <numFmt numFmtId="166" formatCode="#,##0;\(#,##0\);\-"/>
    <numFmt numFmtId="167" formatCode="0.00\x"/>
    <numFmt numFmtId="168" formatCode="0.000%;\(0.000%\);\-"/>
    <numFmt numFmtId="169" formatCode="0.0\x"/>
    <numFmt numFmtId="170" formatCode="\$#,##0.00;&quot;($&quot;#,##0.00\);\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B05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DEEAF1"/>
        <bgColor rgb="FFCCFFFF"/>
      </patternFill>
    </fill>
    <fill>
      <patternFill patternType="solid">
        <fgColor rgb="FFBDD7EE"/>
        <bgColor rgb="FF99CCFF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left" vertical="center" indent="2"/>
    </xf>
    <xf numFmtId="164" fontId="0" fillId="0" borderId="3" applyAlignment="1" pivotButton="0" quotePrefix="0" xfId="0">
      <alignment horizontal="right" vertical="center"/>
    </xf>
    <xf numFmtId="164" fontId="7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7" fillId="0" borderId="3" applyAlignment="1" pivotButton="0" quotePrefix="0" xfId="0">
      <alignment horizontal="right" vertical="center"/>
    </xf>
    <xf numFmtId="166" fontId="0" fillId="0" borderId="3" applyAlignment="1" pivotButton="0" quotePrefix="0" xfId="0">
      <alignment horizontal="right" vertical="center"/>
    </xf>
    <xf numFmtId="166" fontId="7" fillId="0" borderId="3" applyAlignment="1" pivotButton="0" quotePrefix="0" xfId="0">
      <alignment horizontal="right" vertical="center"/>
    </xf>
    <xf numFmtId="167" fontId="0" fillId="0" borderId="3" applyAlignment="1" pivotButton="0" quotePrefix="0" xfId="0">
      <alignment horizontal="right" vertical="center"/>
    </xf>
    <xf numFmtId="167" fontId="7" fillId="0" borderId="3" applyAlignment="1" pivotButton="0" quotePrefix="0" xfId="0">
      <alignment horizontal="right" vertical="center"/>
    </xf>
    <xf numFmtId="168" fontId="0" fillId="0" borderId="3" applyAlignment="1" pivotButton="0" quotePrefix="0" xfId="0">
      <alignment horizontal="right" vertical="center"/>
    </xf>
    <xf numFmtId="168" fontId="7" fillId="0" borderId="3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 indent="2"/>
    </xf>
    <xf numFmtId="166" fontId="6" fillId="0" borderId="3" applyAlignment="1" pivotButton="0" quotePrefix="0" xfId="0">
      <alignment horizontal="right" vertical="center"/>
    </xf>
    <xf numFmtId="0" fontId="9" fillId="4" borderId="4" applyAlignment="1" pivotButton="0" quotePrefix="0" xfId="0">
      <alignment horizontal="left" vertical="center" indent="1"/>
    </xf>
    <xf numFmtId="166" fontId="9" fillId="4" borderId="4" applyAlignment="1" pivotButton="0" quotePrefix="0" xfId="0">
      <alignment horizontal="right" vertical="center"/>
    </xf>
    <xf numFmtId="0" fontId="9" fillId="5" borderId="4" applyAlignment="1" pivotButton="0" quotePrefix="0" xfId="0">
      <alignment horizontal="left" vertical="center" indent="1"/>
    </xf>
    <xf numFmtId="166" fontId="9" fillId="5" borderId="4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164" fontId="6" fillId="0" borderId="3" applyAlignment="1" pivotButton="0" quotePrefix="0" xfId="0">
      <alignment horizontal="right" vertical="center"/>
    </xf>
    <xf numFmtId="168" fontId="6" fillId="0" borderId="3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166" fontId="10" fillId="0" borderId="0" applyAlignment="1" pivotButton="0" quotePrefix="0" xfId="0">
      <alignment horizontal="right" vertical="center"/>
    </xf>
    <xf numFmtId="169" fontId="6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 indent="2"/>
    </xf>
    <xf numFmtId="166" fontId="11" fillId="0" borderId="3" applyAlignment="1" pivotButton="0" quotePrefix="0" xfId="0">
      <alignment horizontal="right" vertical="center"/>
    </xf>
    <xf numFmtId="166" fontId="9" fillId="0" borderId="3" applyAlignment="1" pivotButton="0" quotePrefix="0" xfId="0">
      <alignment horizontal="right" vertical="center"/>
    </xf>
    <xf numFmtId="170" fontId="6" fillId="0" borderId="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0" fillId="0" borderId="7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left" vertical="center" indent="2"/>
    </xf>
    <xf numFmtId="164" fontId="0" fillId="0" borderId="3" applyAlignment="1" pivotButton="0" quotePrefix="0" xfId="0">
      <alignment horizontal="right" vertical="center"/>
    </xf>
    <xf numFmtId="164" fontId="7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7" fillId="0" borderId="3" applyAlignment="1" pivotButton="0" quotePrefix="0" xfId="0">
      <alignment horizontal="right" vertical="center"/>
    </xf>
    <xf numFmtId="166" fontId="0" fillId="0" borderId="3" applyAlignment="1" pivotButton="0" quotePrefix="0" xfId="0">
      <alignment horizontal="right" vertical="center"/>
    </xf>
    <xf numFmtId="166" fontId="7" fillId="0" borderId="3" applyAlignment="1" pivotButton="0" quotePrefix="0" xfId="0">
      <alignment horizontal="right" vertical="center"/>
    </xf>
    <xf numFmtId="167" fontId="0" fillId="0" borderId="3" applyAlignment="1" pivotButton="0" quotePrefix="0" xfId="0">
      <alignment horizontal="right" vertical="center"/>
    </xf>
    <xf numFmtId="167" fontId="7" fillId="0" borderId="3" applyAlignment="1" pivotButton="0" quotePrefix="0" xfId="0">
      <alignment horizontal="right" vertical="center"/>
    </xf>
    <xf numFmtId="168" fontId="0" fillId="0" borderId="3" applyAlignment="1" pivotButton="0" quotePrefix="0" xfId="0">
      <alignment horizontal="right" vertical="center"/>
    </xf>
    <xf numFmtId="168" fontId="7" fillId="0" borderId="3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 indent="2"/>
    </xf>
    <xf numFmtId="166" fontId="6" fillId="0" borderId="3" applyAlignment="1" pivotButton="0" quotePrefix="0" xfId="0">
      <alignment horizontal="right" vertical="center"/>
    </xf>
    <xf numFmtId="0" fontId="9" fillId="4" borderId="4" applyAlignment="1" pivotButton="0" quotePrefix="0" xfId="0">
      <alignment horizontal="left" vertical="center" indent="1"/>
    </xf>
    <xf numFmtId="166" fontId="9" fillId="4" borderId="4" applyAlignment="1" pivotButton="0" quotePrefix="0" xfId="0">
      <alignment horizontal="right" vertical="center"/>
    </xf>
    <xf numFmtId="0" fontId="9" fillId="5" borderId="4" applyAlignment="1" pivotButton="0" quotePrefix="0" xfId="0">
      <alignment horizontal="left" vertical="center" indent="1"/>
    </xf>
    <xf numFmtId="166" fontId="9" fillId="5" borderId="4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164" fontId="6" fillId="0" borderId="3" applyAlignment="1" pivotButton="0" quotePrefix="0" xfId="0">
      <alignment horizontal="right" vertical="center"/>
    </xf>
    <xf numFmtId="168" fontId="6" fillId="0" borderId="3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166" fontId="10" fillId="0" borderId="0" applyAlignment="1" pivotButton="0" quotePrefix="0" xfId="0">
      <alignment horizontal="right" vertical="center"/>
    </xf>
    <xf numFmtId="169" fontId="6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 indent="2"/>
    </xf>
    <xf numFmtId="166" fontId="11" fillId="0" borderId="3" applyAlignment="1" pivotButton="0" quotePrefix="0" xfId="0">
      <alignment horizontal="right" vertical="center"/>
    </xf>
    <xf numFmtId="166" fontId="9" fillId="0" borderId="3" applyAlignment="1" pivotButton="0" quotePrefix="0" xfId="0">
      <alignment horizontal="right" vertical="center"/>
    </xf>
    <xf numFmtId="170" fontId="6" fillId="0" borderId="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00B050"/>
      <rgbColor rgb="FF003300"/>
      <rgbColor rgb="FF333300"/>
      <rgbColor rgb="FF9E480E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A1:I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35" customWidth="1" style="39" min="1" max="1"/>
    <col width="14" customWidth="1" style="39" min="2" max="9"/>
  </cols>
  <sheetData>
    <row r="1" ht="30" customHeight="1" s="40">
      <c r="A1" s="41" t="inlineStr">
        <is>
          <t>BANK FINANCIAL MODEL – KEY ASSUMPTIONS</t>
        </is>
      </c>
    </row>
    <row r="2" ht="18" customHeight="1" s="40">
      <c r="A2" s="42" t="inlineStr">
        <is>
          <t>Driver / Assumption</t>
        </is>
      </c>
      <c r="B2" s="43" t="inlineStr">
        <is>
          <t>FY2022A</t>
        </is>
      </c>
      <c r="C2" s="43" t="inlineStr">
        <is>
          <t>FY2023A</t>
        </is>
      </c>
      <c r="D2" s="43" t="inlineStr">
        <is>
          <t>FY2024A</t>
        </is>
      </c>
      <c r="E2" s="43" t="inlineStr">
        <is>
          <t>FY2025E</t>
        </is>
      </c>
      <c r="F2" s="43" t="inlineStr">
        <is>
          <t>FY2026E</t>
        </is>
      </c>
      <c r="G2" s="43" t="inlineStr">
        <is>
          <t>FY2027E</t>
        </is>
      </c>
      <c r="H2" s="43" t="inlineStr">
        <is>
          <t>FY2028E</t>
        </is>
      </c>
      <c r="I2" s="43" t="inlineStr">
        <is>
          <t>FY2029E</t>
        </is>
      </c>
    </row>
    <row r="3" ht="15" customHeight="1" s="40">
      <c r="A3" s="44" t="inlineStr">
        <is>
          <t>BALANCE SHEET GROWTH</t>
        </is>
      </c>
      <c r="B3" s="45" t="n"/>
      <c r="C3" s="45" t="n"/>
      <c r="D3" s="45" t="n"/>
      <c r="E3" s="45" t="n"/>
      <c r="F3" s="45" t="n"/>
      <c r="G3" s="46" t="n"/>
      <c r="H3" s="47" t="n"/>
      <c r="I3" s="47" t="n"/>
    </row>
    <row r="4" ht="15" customHeight="1" s="40">
      <c r="A4" s="48" t="inlineStr">
        <is>
          <t>Loan Growth (YoY %)</t>
        </is>
      </c>
      <c r="B4" s="49" t="n"/>
      <c r="C4" s="49" t="n"/>
      <c r="D4" s="49" t="n"/>
      <c r="E4" s="50" t="n">
        <v>0.08</v>
      </c>
      <c r="F4" s="50" t="n">
        <v>0.09</v>
      </c>
      <c r="G4" s="50" t="n">
        <v>0.1</v>
      </c>
      <c r="H4" s="50" t="n"/>
      <c r="I4" s="50" t="n"/>
    </row>
    <row r="5" ht="15" customHeight="1" s="40">
      <c r="A5" s="48" t="inlineStr">
        <is>
          <t>Deposit Growth (YoY %)</t>
        </is>
      </c>
      <c r="B5" s="49" t="n"/>
      <c r="C5" s="49" t="n"/>
      <c r="D5" s="49" t="n"/>
      <c r="E5" s="50" t="n">
        <v>0.07000000000000001</v>
      </c>
      <c r="F5" s="50" t="n">
        <v>0.08</v>
      </c>
      <c r="G5" s="50" t="n">
        <v>0.09</v>
      </c>
      <c r="H5" s="50" t="n"/>
      <c r="I5" s="50" t="n"/>
    </row>
    <row r="6" ht="15" customHeight="1" s="40">
      <c r="A6" s="48" t="inlineStr">
        <is>
          <t>Investment Securities Mix</t>
        </is>
      </c>
      <c r="B6" s="49" t="n"/>
      <c r="C6" s="49" t="n"/>
      <c r="D6" s="49" t="n"/>
      <c r="E6" s="50" t="n">
        <v>0.2</v>
      </c>
      <c r="F6" s="50" t="n">
        <v>0.2</v>
      </c>
      <c r="G6" s="50" t="n">
        <v>0.19</v>
      </c>
      <c r="H6" s="50" t="n"/>
      <c r="I6" s="50" t="n"/>
    </row>
    <row r="8" ht="15" customHeight="1" s="40">
      <c r="A8" s="44" t="inlineStr">
        <is>
          <t>NET INTEREST INCOME</t>
        </is>
      </c>
      <c r="B8" s="45" t="n"/>
      <c r="C8" s="45" t="n"/>
      <c r="D8" s="45" t="n"/>
      <c r="E8" s="45" t="n"/>
      <c r="F8" s="45" t="n"/>
      <c r="G8" s="46" t="n"/>
      <c r="H8" s="47" t="n"/>
      <c r="I8" s="47" t="n"/>
    </row>
    <row r="9" ht="15" customHeight="1" s="40">
      <c r="A9" s="48" t="inlineStr">
        <is>
          <t>Avg. Loan Yield (%)</t>
        </is>
      </c>
      <c r="B9" s="51" t="n"/>
      <c r="C9" s="51" t="n"/>
      <c r="D9" s="51" t="n"/>
      <c r="E9" s="52" t="n">
        <v>0.065</v>
      </c>
      <c r="F9" s="52" t="n">
        <v>0.068</v>
      </c>
      <c r="G9" s="52" t="n">
        <v>0.07000000000000001</v>
      </c>
      <c r="H9" s="52" t="n"/>
      <c r="I9" s="52" t="n"/>
    </row>
    <row r="10" ht="15" customHeight="1" s="40">
      <c r="A10" s="48" t="inlineStr">
        <is>
          <t>Avg. Investment Yield (%)</t>
        </is>
      </c>
      <c r="B10" s="51" t="n"/>
      <c r="C10" s="51" t="n"/>
      <c r="D10" s="51" t="n"/>
      <c r="E10" s="52" t="n">
        <v>0.045</v>
      </c>
      <c r="F10" s="52" t="n">
        <v>0.046</v>
      </c>
      <c r="G10" s="52" t="n">
        <v>0.047</v>
      </c>
      <c r="H10" s="52" t="n"/>
      <c r="I10" s="52" t="n"/>
    </row>
    <row r="11" ht="15" customHeight="1" s="40">
      <c r="A11" s="48" t="inlineStr">
        <is>
          <t>Avg. Cost of Deposits (%)</t>
        </is>
      </c>
      <c r="B11" s="51" t="n"/>
      <c r="C11" s="51" t="n"/>
      <c r="D11" s="51" t="n"/>
      <c r="E11" s="52" t="n">
        <v>0.025</v>
      </c>
      <c r="F11" s="52" t="n">
        <v>0.027</v>
      </c>
      <c r="G11" s="52" t="n">
        <v>0.028</v>
      </c>
      <c r="H11" s="52" t="n"/>
      <c r="I11" s="52" t="n"/>
    </row>
    <row r="12" ht="15" customHeight="1" s="40">
      <c r="A12" s="48" t="inlineStr">
        <is>
          <t>Avg. Cost of Borrowings (%)</t>
        </is>
      </c>
      <c r="B12" s="51" t="n"/>
      <c r="C12" s="51" t="n"/>
      <c r="D12" s="51" t="n"/>
      <c r="E12" s="52" t="n">
        <v>0.042</v>
      </c>
      <c r="F12" s="52" t="n">
        <v>0.044</v>
      </c>
      <c r="G12" s="52" t="n">
        <v>0.045</v>
      </c>
      <c r="H12" s="52" t="n"/>
      <c r="I12" s="52" t="n"/>
    </row>
    <row r="13" ht="15" customHeight="1" s="40">
      <c r="A13" s="48" t="inlineStr">
        <is>
          <t>Net Interest Margin (NIM)</t>
        </is>
      </c>
      <c r="B13" s="51" t="n"/>
      <c r="C13" s="51" t="n"/>
      <c r="D13" s="51" t="n"/>
      <c r="E13" s="52" t="n">
        <v>0.038</v>
      </c>
      <c r="F13" s="52" t="n">
        <v>0.039</v>
      </c>
      <c r="G13" s="52" t="n">
        <v>0.04</v>
      </c>
      <c r="H13" s="52" t="n"/>
      <c r="I13" s="52" t="n"/>
    </row>
    <row r="15" ht="15" customHeight="1" s="40">
      <c r="A15" s="44" t="inlineStr">
        <is>
          <t>NON-INTEREST INCOME</t>
        </is>
      </c>
      <c r="B15" s="45" t="n"/>
      <c r="C15" s="45" t="n"/>
      <c r="D15" s="45" t="n"/>
      <c r="E15" s="45" t="n"/>
      <c r="F15" s="45" t="n"/>
      <c r="G15" s="46" t="n"/>
      <c r="H15" s="47" t="n"/>
      <c r="I15" s="47" t="n"/>
    </row>
    <row r="16" ht="15" customHeight="1" s="40">
      <c r="A16" s="48" t="inlineStr">
        <is>
          <t>Fee Income Growth (%)</t>
        </is>
      </c>
      <c r="B16" s="49" t="n"/>
      <c r="C16" s="49" t="n"/>
      <c r="D16" s="49" t="n"/>
      <c r="E16" s="50" t="n">
        <v>0.06</v>
      </c>
      <c r="F16" s="50" t="n">
        <v>0.07000000000000001</v>
      </c>
      <c r="G16" s="50" t="n">
        <v>0.07000000000000001</v>
      </c>
      <c r="H16" s="50" t="n"/>
      <c r="I16" s="50" t="n"/>
    </row>
    <row r="17" ht="15" customHeight="1" s="40">
      <c r="A17" s="48" t="inlineStr">
        <is>
          <t>Trading Income ($mm)</t>
        </is>
      </c>
      <c r="B17" s="53" t="n"/>
      <c r="C17" s="53" t="n"/>
      <c r="D17" s="53" t="n"/>
      <c r="E17" s="54" t="n">
        <v>120</v>
      </c>
      <c r="F17" s="54" t="n">
        <v>130</v>
      </c>
      <c r="G17" s="54" t="n">
        <v>135</v>
      </c>
      <c r="H17" s="54" t="n"/>
      <c r="I17" s="54" t="n"/>
    </row>
    <row r="18" ht="15" customHeight="1" s="40">
      <c r="A18" s="48" t="inlineStr">
        <is>
          <t>Other Income ($mm)</t>
        </is>
      </c>
      <c r="B18" s="53" t="n"/>
      <c r="C18" s="53" t="n"/>
      <c r="D18" s="53" t="n"/>
      <c r="E18" s="54" t="n">
        <v>50</v>
      </c>
      <c r="F18" s="54" t="n">
        <v>55</v>
      </c>
      <c r="G18" s="54" t="n">
        <v>58</v>
      </c>
      <c r="H18" s="54" t="n"/>
      <c r="I18" s="54" t="n"/>
    </row>
    <row r="20" ht="15" customHeight="1" s="40">
      <c r="A20" s="44" t="inlineStr">
        <is>
          <t>CREDIT QUALITY</t>
        </is>
      </c>
      <c r="B20" s="45" t="n"/>
      <c r="C20" s="45" t="n"/>
      <c r="D20" s="45" t="n"/>
      <c r="E20" s="45" t="n"/>
      <c r="F20" s="45" t="n"/>
      <c r="G20" s="46" t="n"/>
      <c r="H20" s="47" t="n"/>
      <c r="I20" s="47" t="n"/>
    </row>
    <row r="21" ht="15" customHeight="1" s="40">
      <c r="A21" s="48" t="inlineStr">
        <is>
          <t>NPL Ratio (%)</t>
        </is>
      </c>
      <c r="B21" s="51" t="n"/>
      <c r="C21" s="51" t="n"/>
      <c r="D21" s="51" t="n"/>
      <c r="E21" s="52" t="n">
        <v>0.02</v>
      </c>
      <c r="F21" s="52" t="n">
        <v>0.018</v>
      </c>
      <c r="G21" s="52" t="n">
        <v>0.017</v>
      </c>
      <c r="H21" s="52" t="n"/>
      <c r="I21" s="52" t="n"/>
    </row>
    <row r="22" ht="15" customHeight="1" s="40">
      <c r="A22" s="48" t="inlineStr">
        <is>
          <t>Coverage Ratio (%)</t>
        </is>
      </c>
      <c r="B22" s="55" t="n"/>
      <c r="C22" s="55" t="n"/>
      <c r="D22" s="55" t="n"/>
      <c r="E22" s="56" t="n">
        <v>1.2</v>
      </c>
      <c r="F22" s="56" t="n">
        <v>1.25</v>
      </c>
      <c r="G22" s="56" t="n">
        <v>1.25</v>
      </c>
      <c r="H22" s="56" t="n"/>
      <c r="I22" s="56" t="n"/>
    </row>
    <row r="23" ht="15" customHeight="1" s="40">
      <c r="A23" s="48" t="inlineStr">
        <is>
          <t>Loan Loss Provision / Loans</t>
        </is>
      </c>
      <c r="B23" s="57" t="n"/>
      <c r="C23" s="57" t="n"/>
      <c r="D23" s="57" t="n"/>
      <c r="E23" s="58" t="n">
        <v>0.008</v>
      </c>
      <c r="F23" s="58" t="n">
        <v>0.007</v>
      </c>
      <c r="G23" s="58" t="n">
        <v>0.006</v>
      </c>
      <c r="H23" s="58" t="n"/>
      <c r="I23" s="58" t="n"/>
    </row>
    <row r="25" ht="15" customHeight="1" s="40">
      <c r="A25" s="44" t="inlineStr">
        <is>
          <t>OPERATING EXPENSES</t>
        </is>
      </c>
      <c r="B25" s="45" t="n"/>
      <c r="C25" s="45" t="n"/>
      <c r="D25" s="45" t="n"/>
      <c r="E25" s="45" t="n"/>
      <c r="F25" s="45" t="n"/>
      <c r="G25" s="46" t="n"/>
      <c r="H25" s="47" t="n"/>
      <c r="I25" s="47" t="n"/>
    </row>
    <row r="26" ht="15" customHeight="1" s="40">
      <c r="A26" s="48" t="inlineStr">
        <is>
          <t>Cost-to-Income Ratio (%)</t>
        </is>
      </c>
      <c r="B26" s="49" t="n"/>
      <c r="C26" s="49" t="n"/>
      <c r="D26" s="49" t="n"/>
      <c r="E26" s="50" t="n">
        <v>0.48</v>
      </c>
      <c r="F26" s="50" t="n">
        <v>0.47</v>
      </c>
      <c r="G26" s="50" t="n">
        <v>0.46</v>
      </c>
      <c r="H26" s="50" t="n"/>
      <c r="I26" s="50" t="n"/>
    </row>
    <row r="27" ht="15" customHeight="1" s="40">
      <c r="A27" s="48" t="inlineStr">
        <is>
          <t>Staff Cost Growth (%)</t>
        </is>
      </c>
      <c r="B27" s="49" t="n"/>
      <c r="C27" s="49" t="n"/>
      <c r="D27" s="49" t="n"/>
      <c r="E27" s="50" t="n">
        <v>0.04</v>
      </c>
      <c r="F27" s="50" t="n">
        <v>0.04</v>
      </c>
      <c r="G27" s="50" t="n">
        <v>0.04</v>
      </c>
      <c r="H27" s="50" t="n"/>
      <c r="I27" s="50" t="n"/>
    </row>
    <row r="28" ht="15" customHeight="1" s="40">
      <c r="A28" s="48" t="inlineStr">
        <is>
          <t>D&amp;A ($mm)</t>
        </is>
      </c>
      <c r="B28" s="53" t="n"/>
      <c r="C28" s="53" t="n"/>
      <c r="D28" s="53" t="n"/>
      <c r="E28" s="54" t="n">
        <v>85</v>
      </c>
      <c r="F28" s="54" t="n">
        <v>88</v>
      </c>
      <c r="G28" s="54" t="n">
        <v>91</v>
      </c>
      <c r="H28" s="54" t="n"/>
      <c r="I28" s="54" t="n"/>
    </row>
    <row r="30" ht="15" customHeight="1" s="40">
      <c r="A30" s="44" t="inlineStr">
        <is>
          <t>CAPITAL &amp; RETURNS</t>
        </is>
      </c>
      <c r="B30" s="45" t="n"/>
      <c r="C30" s="45" t="n"/>
      <c r="D30" s="45" t="n"/>
      <c r="E30" s="45" t="n"/>
      <c r="F30" s="45" t="n"/>
      <c r="G30" s="46" t="n"/>
      <c r="H30" s="47" t="n"/>
      <c r="I30" s="47" t="n"/>
    </row>
    <row r="31" ht="15" customHeight="1" s="40">
      <c r="A31" s="48" t="inlineStr">
        <is>
          <t>CET1 Target (%)</t>
        </is>
      </c>
      <c r="B31" s="49" t="n"/>
      <c r="C31" s="49" t="n"/>
      <c r="D31" s="49" t="n"/>
      <c r="E31" s="50" t="n">
        <v>0.13</v>
      </c>
      <c r="F31" s="50" t="n">
        <v>0.13</v>
      </c>
      <c r="G31" s="50" t="n">
        <v>0.135</v>
      </c>
      <c r="H31" s="50" t="n"/>
      <c r="I31" s="50" t="n"/>
    </row>
    <row r="32" ht="15" customHeight="1" s="40">
      <c r="A32" s="48" t="inlineStr">
        <is>
          <t>Dividend Payout Ratio (%)</t>
        </is>
      </c>
      <c r="B32" s="49" t="n"/>
      <c r="C32" s="49" t="n"/>
      <c r="D32" s="49" t="n"/>
      <c r="E32" s="50" t="n">
        <v>0.4</v>
      </c>
      <c r="F32" s="50" t="n">
        <v>0.42</v>
      </c>
      <c r="G32" s="50" t="n">
        <v>0.42</v>
      </c>
      <c r="H32" s="50" t="n"/>
      <c r="I32" s="50" t="n"/>
    </row>
    <row r="33" ht="15" customHeight="1" s="40">
      <c r="A33" s="48" t="inlineStr">
        <is>
          <t>Effective Tax Rate (%)</t>
        </is>
      </c>
      <c r="B33" s="49" t="n"/>
      <c r="C33" s="49" t="n"/>
      <c r="D33" s="49" t="n"/>
      <c r="E33" s="50" t="n">
        <v>0.25</v>
      </c>
      <c r="F33" s="50" t="n">
        <v>0.25</v>
      </c>
      <c r="G33" s="50" t="n">
        <v>0.25</v>
      </c>
      <c r="H33" s="50" t="n"/>
      <c r="I33" s="50" t="n"/>
    </row>
    <row r="36" ht="15" customHeight="1" s="40">
      <c r="A36" s="59" t="inlineStr">
        <is>
          <t>COLOR LEGEND</t>
        </is>
      </c>
    </row>
    <row r="37" ht="15" customHeight="1" s="40">
      <c r="A37" s="60" t="inlineStr">
        <is>
          <t>Blue  = Hardcoded input (user editable)</t>
        </is>
      </c>
    </row>
    <row r="38" ht="15" customHeight="1" s="40">
      <c r="A38" s="61" t="inlineStr">
        <is>
          <t>Black = Formula / calculated cell</t>
        </is>
      </c>
    </row>
    <row r="39" ht="15" customHeight="1" s="40">
      <c r="A39" s="62" t="inlineStr">
        <is>
          <t>Green = Cross-sheet link</t>
        </is>
      </c>
    </row>
  </sheetData>
  <mergeCells count="11">
    <mergeCell ref="A36:G36"/>
    <mergeCell ref="A1:G1"/>
    <mergeCell ref="A8:G8"/>
    <mergeCell ref="A3:G3"/>
    <mergeCell ref="A39:G39"/>
    <mergeCell ref="A20:G20"/>
    <mergeCell ref="A30:G30"/>
    <mergeCell ref="A38:G38"/>
    <mergeCell ref="A15:G15"/>
    <mergeCell ref="A25:G25"/>
    <mergeCell ref="A37:G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I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39" min="1" max="1"/>
    <col width="14" customWidth="1" style="39" min="2" max="9"/>
  </cols>
  <sheetData>
    <row r="1" ht="17.25" customHeight="1" s="40">
      <c r="A1" s="41" t="inlineStr">
        <is>
          <t>INCOME STATEMENT  ($mm)</t>
        </is>
      </c>
    </row>
    <row r="2" ht="15" customHeight="1" s="40">
      <c r="A2" s="42" t="inlineStr">
        <is>
          <t>($mm)</t>
        </is>
      </c>
      <c r="B2" s="43" t="inlineStr">
        <is>
          <t>FY2022A</t>
        </is>
      </c>
      <c r="C2" s="43" t="inlineStr">
        <is>
          <t>FY2023A</t>
        </is>
      </c>
      <c r="D2" s="43" t="inlineStr">
        <is>
          <t>FY2024A</t>
        </is>
      </c>
      <c r="E2" s="43" t="inlineStr">
        <is>
          <t>FY2025E</t>
        </is>
      </c>
      <c r="F2" s="43" t="inlineStr">
        <is>
          <t>FY2026E</t>
        </is>
      </c>
      <c r="G2" s="43" t="inlineStr">
        <is>
          <t>FY2027E</t>
        </is>
      </c>
      <c r="H2" s="43" t="inlineStr">
        <is>
          <t>FY2028E</t>
        </is>
      </c>
      <c r="I2" s="43" t="inlineStr">
        <is>
          <t>FY2029E</t>
        </is>
      </c>
    </row>
    <row r="3" ht="15" customHeight="1" s="40">
      <c r="A3" s="44" t="inlineStr">
        <is>
          <t>INTEREST INCOME / EXPENSE</t>
        </is>
      </c>
      <c r="B3" s="45" t="n"/>
      <c r="C3" s="45" t="n"/>
      <c r="D3" s="45" t="n"/>
      <c r="E3" s="45" t="n"/>
      <c r="F3" s="45" t="n"/>
      <c r="G3" s="46" t="n"/>
      <c r="H3" s="47" t="n"/>
      <c r="I3" s="47" t="n"/>
    </row>
    <row r="4" ht="15" customHeight="1" s="40">
      <c r="A4" s="48" t="inlineStr">
        <is>
          <t>Interest Income</t>
        </is>
      </c>
      <c r="B4" s="54" t="n">
        <v>1920</v>
      </c>
      <c r="C4" s="54" t="n">
        <v>2140</v>
      </c>
      <c r="D4" s="54" t="n">
        <v>2380</v>
      </c>
      <c r="E4" s="63" t="n">
        <v>0</v>
      </c>
      <c r="F4" s="63" t="n">
        <v>0</v>
      </c>
      <c r="G4" s="63" t="n">
        <v>0</v>
      </c>
      <c r="H4" s="63" t="n">
        <v>0</v>
      </c>
      <c r="I4" s="63" t="n">
        <v>0</v>
      </c>
    </row>
    <row r="5" ht="15" customHeight="1" s="40">
      <c r="A5" s="48" t="inlineStr">
        <is>
          <t>Interest Expense</t>
        </is>
      </c>
      <c r="B5" s="54" t="n">
        <v>70</v>
      </c>
      <c r="C5" s="54" t="n">
        <v>90</v>
      </c>
      <c r="D5" s="54" t="n">
        <v>100</v>
      </c>
      <c r="E5" s="63" t="n">
        <v>0</v>
      </c>
      <c r="F5" s="63" t="n">
        <v>0</v>
      </c>
      <c r="G5" s="63" t="n">
        <v>0</v>
      </c>
      <c r="H5" s="63" t="n">
        <v>0</v>
      </c>
      <c r="I5" s="63" t="n">
        <v>0</v>
      </c>
    </row>
    <row r="6" ht="15" customHeight="1" s="40">
      <c r="A6" s="64" t="inlineStr">
        <is>
          <t>Net Interest Income (NII)</t>
        </is>
      </c>
      <c r="B6" s="65">
        <f>B4-B5</f>
        <v/>
      </c>
      <c r="C6" s="65">
        <f>C4-C5</f>
        <v/>
      </c>
      <c r="D6" s="65">
        <f>D4-D5</f>
        <v/>
      </c>
      <c r="E6" s="65">
        <f>E4-E5</f>
        <v/>
      </c>
      <c r="F6" s="65">
        <f>F4-F5</f>
        <v/>
      </c>
      <c r="G6" s="65">
        <f>G4-G5</f>
        <v/>
      </c>
      <c r="H6" s="65">
        <f>H4-H5</f>
        <v/>
      </c>
      <c r="I6" s="65">
        <f>I4-I5</f>
        <v/>
      </c>
    </row>
    <row r="7"/>
    <row r="8" ht="15" customHeight="1" s="40">
      <c r="A8" s="44" t="inlineStr">
        <is>
          <t>NON-INTEREST INCOME</t>
        </is>
      </c>
      <c r="B8" s="45" t="n"/>
      <c r="C8" s="45" t="n"/>
      <c r="D8" s="45" t="n"/>
      <c r="E8" s="45" t="n"/>
      <c r="F8" s="45" t="n"/>
      <c r="G8" s="46" t="n"/>
      <c r="H8" s="47" t="n"/>
      <c r="I8" s="47" t="n"/>
    </row>
    <row r="9" ht="15" customHeight="1" s="40">
      <c r="A9" s="48" t="inlineStr">
        <is>
          <t>Fee &amp; Commission Income</t>
        </is>
      </c>
      <c r="B9" s="54" t="n">
        <v>420</v>
      </c>
      <c r="C9" s="54" t="n">
        <v>455</v>
      </c>
      <c r="D9" s="54" t="n">
        <v>492</v>
      </c>
      <c r="E9" s="63" t="n"/>
      <c r="F9" s="63" t="n"/>
      <c r="G9" s="63" t="n"/>
      <c r="H9" s="63" t="n"/>
      <c r="I9" s="63" t="n"/>
    </row>
    <row r="10" ht="15" customHeight="1" s="40">
      <c r="A10" s="48" t="inlineStr">
        <is>
          <t>Trading Income</t>
        </is>
      </c>
      <c r="B10" s="54" t="n">
        <v>110</v>
      </c>
      <c r="C10" s="54" t="n">
        <v>115</v>
      </c>
      <c r="D10" s="54" t="n">
        <v>118</v>
      </c>
      <c r="E10" s="63" t="n">
        <v>120</v>
      </c>
      <c r="F10" s="63" t="n">
        <v>130</v>
      </c>
      <c r="G10" s="63" t="n">
        <v>135</v>
      </c>
      <c r="H10" s="63" t="n">
        <v>140</v>
      </c>
      <c r="I10" s="63" t="n">
        <v>145</v>
      </c>
    </row>
    <row r="11" ht="15" customHeight="1" s="40">
      <c r="A11" s="48" t="inlineStr">
        <is>
          <t>Other Operating Income</t>
        </is>
      </c>
      <c r="B11" s="54" t="n">
        <v>44</v>
      </c>
      <c r="C11" s="54" t="n">
        <v>47</v>
      </c>
      <c r="D11" s="54" t="n">
        <v>49</v>
      </c>
      <c r="E11" s="63" t="n"/>
      <c r="F11" s="63" t="n"/>
      <c r="G11" s="63" t="n"/>
      <c r="H11" s="63" t="n"/>
      <c r="I11" s="63" t="n"/>
    </row>
    <row r="12" ht="15" customHeight="1" s="40">
      <c r="A12" s="64" t="inlineStr">
        <is>
          <t>Total Non-Interest Income</t>
        </is>
      </c>
      <c r="B12" s="65">
        <f>SUM(B9:B11)</f>
        <v/>
      </c>
      <c r="C12" s="65">
        <f>SUM(C9:C11)</f>
        <v/>
      </c>
      <c r="D12" s="65">
        <f>SUM(D9:D11)</f>
        <v/>
      </c>
      <c r="E12" s="65">
        <f>SUM(E9:E11)</f>
        <v/>
      </c>
      <c r="F12" s="65">
        <f>SUM(F9:F11)</f>
        <v/>
      </c>
      <c r="G12" s="65">
        <f>SUM(G9:G11)</f>
        <v/>
      </c>
      <c r="H12" s="65">
        <f>SUM(H9:H11)</f>
        <v/>
      </c>
      <c r="I12" s="65">
        <f>SUM(I9:I11)</f>
        <v/>
      </c>
    </row>
    <row r="13"/>
    <row r="14" ht="15" customHeight="1" s="40">
      <c r="A14" s="66" t="inlineStr">
        <is>
          <t>Total Operating Income</t>
        </is>
      </c>
      <c r="B14" s="67">
        <f>B6+B12</f>
        <v/>
      </c>
      <c r="C14" s="67">
        <f>C6+C12</f>
        <v/>
      </c>
      <c r="D14" s="67">
        <f>D6+D12</f>
        <v/>
      </c>
      <c r="E14" s="67" t="n">
        <v>120</v>
      </c>
      <c r="F14" s="67" t="n">
        <v>130</v>
      </c>
      <c r="G14" s="67" t="n">
        <v>135</v>
      </c>
      <c r="H14" s="67" t="n">
        <v>140</v>
      </c>
      <c r="I14" s="67" t="n">
        <v>145</v>
      </c>
    </row>
    <row r="15"/>
    <row r="16" ht="15" customHeight="1" s="40">
      <c r="A16" s="44" t="inlineStr">
        <is>
          <t>OPERATING EXPENSES</t>
        </is>
      </c>
      <c r="B16" s="45" t="n"/>
      <c r="C16" s="45" t="n"/>
      <c r="D16" s="45" t="n"/>
      <c r="E16" s="45" t="n"/>
      <c r="F16" s="45" t="n"/>
      <c r="G16" s="46" t="n"/>
      <c r="H16" s="47" t="n"/>
      <c r="I16" s="47" t="n"/>
    </row>
    <row r="17" ht="15" customHeight="1" s="40">
      <c r="A17" s="48" t="inlineStr">
        <is>
          <t>Staff Costs</t>
        </is>
      </c>
      <c r="B17" s="54" t="n">
        <v>620</v>
      </c>
      <c r="C17" s="54" t="n">
        <v>660</v>
      </c>
      <c r="D17" s="54" t="n">
        <v>700</v>
      </c>
      <c r="E17" s="63" t="n">
        <v>31.68</v>
      </c>
      <c r="F17" s="63" t="n">
        <v>33.605</v>
      </c>
      <c r="G17" s="63" t="n">
        <v>34.155</v>
      </c>
      <c r="H17" s="63" t="n">
        <v>35.42000000000001</v>
      </c>
      <c r="I17" s="63" t="n">
        <v>36.685</v>
      </c>
    </row>
    <row r="18" ht="15" customHeight="1" s="40">
      <c r="A18" s="48" t="inlineStr">
        <is>
          <t>Technology &amp; Infrastructure</t>
        </is>
      </c>
      <c r="B18" s="54" t="n">
        <v>210</v>
      </c>
      <c r="C18" s="54" t="n">
        <v>225</v>
      </c>
      <c r="D18" s="54" t="n">
        <v>238</v>
      </c>
      <c r="E18" s="63" t="n"/>
      <c r="F18" s="63" t="n"/>
      <c r="G18" s="63" t="n"/>
      <c r="H18" s="63" t="n"/>
      <c r="I18" s="63" t="n"/>
    </row>
    <row r="19" ht="15" customHeight="1" s="40">
      <c r="A19" s="48" t="inlineStr">
        <is>
          <t>Occupancy &amp; Admin</t>
        </is>
      </c>
      <c r="B19" s="54" t="n">
        <v>195</v>
      </c>
      <c r="C19" s="54" t="n">
        <v>205</v>
      </c>
      <c r="D19" s="54" t="n">
        <v>212</v>
      </c>
      <c r="E19" s="63" t="n"/>
      <c r="F19" s="63" t="n"/>
      <c r="G19" s="63" t="n"/>
      <c r="H19" s="63" t="n"/>
      <c r="I19" s="63" t="n"/>
    </row>
    <row r="20" ht="15" customHeight="1" s="40">
      <c r="A20" s="48" t="inlineStr">
        <is>
          <t>Depreciation &amp; Amortisation</t>
        </is>
      </c>
      <c r="B20" s="54" t="n">
        <v>85</v>
      </c>
      <c r="C20" s="54" t="n">
        <v>88</v>
      </c>
      <c r="D20" s="54" t="n">
        <v>91</v>
      </c>
      <c r="E20" s="63" t="n"/>
      <c r="F20" s="63" t="n"/>
      <c r="G20" s="63" t="n"/>
      <c r="H20" s="63" t="n"/>
      <c r="I20" s="63" t="n"/>
    </row>
    <row r="21" ht="15" customHeight="1" s="40">
      <c r="A21" s="64" t="inlineStr">
        <is>
          <t>Total Operating Expenses</t>
        </is>
      </c>
      <c r="B21" s="65">
        <f>SUM(B17:B20)</f>
        <v/>
      </c>
      <c r="C21" s="65">
        <f>SUM(C17:C20)</f>
        <v/>
      </c>
      <c r="D21" s="65">
        <f>SUM(D17:D20)</f>
        <v/>
      </c>
      <c r="E21" s="65">
        <f>SUM(E17:E20)</f>
        <v/>
      </c>
      <c r="F21" s="65">
        <f>SUM(F17:F20)</f>
        <v/>
      </c>
      <c r="G21" s="65">
        <f>SUM(G17:G20)</f>
        <v/>
      </c>
      <c r="H21" s="65">
        <f>SUM(H17:H20)</f>
        <v/>
      </c>
      <c r="I21" s="65">
        <f>SUM(I17:I20)</f>
        <v/>
      </c>
    </row>
    <row r="22"/>
    <row r="23" ht="15" customHeight="1" s="40">
      <c r="A23" s="66" t="inlineStr">
        <is>
          <t>Pre-Provision Operating Profit (PPOP)</t>
        </is>
      </c>
      <c r="B23" s="67">
        <f>B14-B21</f>
        <v/>
      </c>
      <c r="C23" s="67">
        <f>C14-C21</f>
        <v/>
      </c>
      <c r="D23" s="67">
        <f>D14-D21</f>
        <v/>
      </c>
      <c r="E23" s="67">
        <f>E14-E21</f>
        <v/>
      </c>
      <c r="F23" s="67">
        <f>F14-F21</f>
        <v/>
      </c>
      <c r="G23" s="67">
        <f>G14-G21</f>
        <v/>
      </c>
      <c r="H23" s="67">
        <f>H14-H21</f>
        <v/>
      </c>
      <c r="I23" s="67">
        <f>I14-I21</f>
        <v/>
      </c>
    </row>
    <row r="24"/>
    <row r="25" ht="15" customHeight="1" s="40">
      <c r="A25" s="44" t="inlineStr">
        <is>
          <t>PROVISIONS &amp; IMPAIRMENTS</t>
        </is>
      </c>
      <c r="B25" s="45" t="n"/>
      <c r="C25" s="45" t="n"/>
      <c r="D25" s="45" t="n"/>
      <c r="E25" s="45" t="n"/>
      <c r="F25" s="45" t="n"/>
      <c r="G25" s="46" t="n"/>
      <c r="H25" s="47" t="n"/>
      <c r="I25" s="47" t="n"/>
    </row>
    <row r="26" ht="15" customHeight="1" s="40">
      <c r="A26" s="48" t="inlineStr">
        <is>
          <t>Loan Loss Provisions (LLP)</t>
        </is>
      </c>
      <c r="B26" s="54" t="n">
        <v>185</v>
      </c>
      <c r="C26" s="54" t="n">
        <v>175</v>
      </c>
      <c r="D26" s="54" t="n">
        <v>160</v>
      </c>
      <c r="E26" s="63" t="n"/>
      <c r="F26" s="63" t="n"/>
      <c r="G26" s="63" t="n"/>
      <c r="H26" s="63" t="n"/>
      <c r="I26" s="63" t="n"/>
    </row>
    <row r="27" ht="15" customHeight="1" s="40">
      <c r="A27" s="48" t="inlineStr">
        <is>
          <t>Other Impairments</t>
        </is>
      </c>
      <c r="B27" s="54" t="n">
        <v>10</v>
      </c>
      <c r="C27" s="54" t="n">
        <v>8</v>
      </c>
      <c r="D27" s="54" t="n">
        <v>7</v>
      </c>
      <c r="E27" s="63" t="n"/>
      <c r="F27" s="63" t="n"/>
      <c r="G27" s="63" t="n"/>
      <c r="H27" s="63" t="n"/>
      <c r="I27" s="63" t="n"/>
    </row>
    <row r="28" ht="15" customHeight="1" s="40">
      <c r="A28" s="64" t="inlineStr">
        <is>
          <t>Total Provisions</t>
        </is>
      </c>
      <c r="B28" s="65">
        <f>B26+B27</f>
        <v/>
      </c>
      <c r="C28" s="65">
        <f>C26+C27</f>
        <v/>
      </c>
      <c r="D28" s="65">
        <f>D26+D27</f>
        <v/>
      </c>
      <c r="E28" s="65">
        <f>E26+E27</f>
        <v/>
      </c>
      <c r="F28" s="65">
        <f>F26+F27</f>
        <v/>
      </c>
      <c r="G28" s="65">
        <f>G26+G27</f>
        <v/>
      </c>
      <c r="H28" s="65">
        <f>H26+H27</f>
        <v/>
      </c>
      <c r="I28" s="65">
        <f>I26+I27</f>
        <v/>
      </c>
    </row>
    <row r="29"/>
    <row r="30" ht="15" customHeight="1" s="40">
      <c r="A30" s="66" t="inlineStr">
        <is>
          <t>Pre-Tax Profit (PBT)</t>
        </is>
      </c>
      <c r="B30" s="67">
        <f>B23-B28</f>
        <v/>
      </c>
      <c r="C30" s="67">
        <f>C23-C28</f>
        <v/>
      </c>
      <c r="D30" s="67">
        <f>D23-D28</f>
        <v/>
      </c>
      <c r="E30" s="67">
        <f>E23-E28</f>
        <v/>
      </c>
      <c r="F30" s="67">
        <f>F23-F28</f>
        <v/>
      </c>
      <c r="G30" s="67">
        <f>G23-G28</f>
        <v/>
      </c>
      <c r="H30" s="67">
        <f>H23-H28</f>
        <v/>
      </c>
      <c r="I30" s="67">
        <f>I23-I28</f>
        <v/>
      </c>
    </row>
    <row r="31" ht="15" customHeight="1" s="40">
      <c r="A31" s="48" t="inlineStr">
        <is>
          <t>Income Tax Expense</t>
        </is>
      </c>
      <c r="B31" s="54" t="n">
        <v>155</v>
      </c>
      <c r="C31" s="54" t="n">
        <v>168</v>
      </c>
      <c r="D31" s="54" t="n">
        <v>188</v>
      </c>
      <c r="E31" s="63" t="n"/>
      <c r="F31" s="63" t="n"/>
      <c r="G31" s="63" t="n"/>
      <c r="H31" s="63" t="n"/>
      <c r="I31" s="63" t="n"/>
    </row>
    <row r="32" ht="15" customHeight="1" s="40">
      <c r="A32" s="66" t="inlineStr">
        <is>
          <t>Net Income (PAT)</t>
        </is>
      </c>
      <c r="B32" s="67">
        <f>B30-B31</f>
        <v/>
      </c>
      <c r="C32" s="67">
        <f>C30-C31</f>
        <v/>
      </c>
      <c r="D32" s="67">
        <f>D30-D31</f>
        <v/>
      </c>
      <c r="E32" s="67">
        <f>E30-E31</f>
        <v/>
      </c>
      <c r="F32" s="67">
        <f>F30-F31</f>
        <v/>
      </c>
      <c r="G32" s="67">
        <f>G30-G31</f>
        <v/>
      </c>
      <c r="H32" s="67">
        <f>H30-H31</f>
        <v/>
      </c>
      <c r="I32" s="67">
        <f>I30-I31</f>
        <v/>
      </c>
    </row>
    <row r="33"/>
    <row r="34" ht="15" customHeight="1" s="40">
      <c r="A34" s="44" t="inlineStr">
        <is>
          <t>KEY RATIOS</t>
        </is>
      </c>
      <c r="B34" s="45" t="n"/>
      <c r="C34" s="45" t="n"/>
      <c r="D34" s="45" t="n"/>
      <c r="E34" s="45" t="n"/>
      <c r="F34" s="45" t="n"/>
      <c r="G34" s="46" t="n"/>
      <c r="H34" s="47" t="n"/>
      <c r="I34" s="47" t="n"/>
    </row>
    <row r="35" ht="15" customHeight="1" s="40">
      <c r="A35" s="48" t="inlineStr">
        <is>
          <t>NIM (%)</t>
        </is>
      </c>
      <c r="B35" s="68" t="n"/>
      <c r="C35" s="68" t="n"/>
      <c r="D35" s="68" t="n"/>
      <c r="E35" s="68" t="n"/>
      <c r="F35" s="68" t="n"/>
      <c r="G35" s="68" t="n"/>
      <c r="H35" s="68" t="n"/>
      <c r="I35" s="68" t="n"/>
    </row>
    <row r="36" ht="15" customHeight="1" s="40">
      <c r="A36" s="48" t="inlineStr">
        <is>
          <t>Cost-to-Income (%)</t>
        </is>
      </c>
      <c r="B36" s="69" t="n"/>
      <c r="C36" s="69" t="n"/>
      <c r="D36" s="69" t="n"/>
      <c r="E36" s="69" t="n"/>
      <c r="F36" s="69" t="n"/>
      <c r="G36" s="69" t="n"/>
      <c r="H36" s="69" t="n"/>
      <c r="I36" s="69" t="n"/>
    </row>
    <row r="37" ht="15" customHeight="1" s="40">
      <c r="A37" s="48" t="inlineStr">
        <is>
          <t>LLP / Loans (%)</t>
        </is>
      </c>
      <c r="B37" s="70" t="n"/>
      <c r="C37" s="70" t="n"/>
      <c r="D37" s="70" t="n"/>
      <c r="E37" s="70" t="n"/>
      <c r="F37" s="70" t="n"/>
      <c r="G37" s="70" t="n"/>
      <c r="H37" s="70" t="n"/>
      <c r="I37" s="70" t="n"/>
    </row>
    <row r="38" ht="15" customHeight="1" s="40">
      <c r="A38" s="48" t="inlineStr">
        <is>
          <t>ROE (%)</t>
        </is>
      </c>
      <c r="B38" s="69" t="n"/>
      <c r="C38" s="69" t="n"/>
      <c r="D38" s="69" t="n"/>
      <c r="E38" s="69" t="n"/>
      <c r="F38" s="69" t="n"/>
      <c r="G38" s="69" t="n"/>
      <c r="H38" s="69" t="n"/>
      <c r="I38" s="69" t="n"/>
    </row>
    <row r="39" ht="15" customHeight="1" s="40">
      <c r="A39" s="48" t="inlineStr">
        <is>
          <t>ROA (%)</t>
        </is>
      </c>
      <c r="B39" s="69" t="n"/>
      <c r="C39" s="69" t="n"/>
      <c r="D39" s="69" t="n"/>
      <c r="E39" s="69" t="n"/>
      <c r="F39" s="69" t="n"/>
      <c r="G39" s="69" t="n"/>
      <c r="H39" s="69" t="n"/>
      <c r="I39" s="69" t="n"/>
    </row>
  </sheetData>
  <mergeCells count="6">
    <mergeCell ref="A1:G1"/>
    <mergeCell ref="A8:G8"/>
    <mergeCell ref="A3:G3"/>
    <mergeCell ref="A34:G34"/>
    <mergeCell ref="A16:G16"/>
    <mergeCell ref="A25:G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I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39" min="1" max="1"/>
    <col width="14" customWidth="1" style="39" min="2" max="9"/>
  </cols>
  <sheetData>
    <row r="1" ht="17.25" customHeight="1" s="40">
      <c r="A1" s="41" t="inlineStr">
        <is>
          <t>BALANCE SHEET  ($mm)</t>
        </is>
      </c>
    </row>
    <row r="2" ht="15" customHeight="1" s="40">
      <c r="A2" s="71" t="inlineStr">
        <is>
          <t>($mm)</t>
        </is>
      </c>
      <c r="B2" s="43" t="inlineStr">
        <is>
          <t>FY2022A</t>
        </is>
      </c>
      <c r="C2" s="43" t="inlineStr">
        <is>
          <t>FY2023A</t>
        </is>
      </c>
      <c r="D2" s="43" t="inlineStr">
        <is>
          <t>FY2024A</t>
        </is>
      </c>
      <c r="E2" s="43" t="inlineStr">
        <is>
          <t>FY2025E</t>
        </is>
      </c>
      <c r="F2" s="43" t="inlineStr">
        <is>
          <t>FY2026E</t>
        </is>
      </c>
      <c r="G2" s="43" t="inlineStr">
        <is>
          <t>FY2027E</t>
        </is>
      </c>
      <c r="H2" s="43" t="inlineStr">
        <is>
          <t>FY2028E</t>
        </is>
      </c>
      <c r="I2" s="43" t="inlineStr">
        <is>
          <t>FY2029E</t>
        </is>
      </c>
    </row>
    <row r="3" ht="15" customHeight="1" s="40">
      <c r="A3" s="44" t="inlineStr">
        <is>
          <t>ASSETS</t>
        </is>
      </c>
      <c r="B3" s="45" t="n"/>
      <c r="C3" s="45" t="n"/>
      <c r="D3" s="45" t="n"/>
      <c r="E3" s="45" t="n"/>
      <c r="F3" s="45" t="n"/>
      <c r="G3" s="46" t="n"/>
      <c r="H3" s="47" t="n"/>
      <c r="I3" s="47" t="n"/>
    </row>
    <row r="4" ht="15" customHeight="1" s="40">
      <c r="A4" s="48" t="inlineStr">
        <is>
          <t>Cash &amp; Central Bank Reserves</t>
        </is>
      </c>
      <c r="B4" s="54" t="n">
        <v>1200</v>
      </c>
      <c r="C4" s="54" t="n">
        <v>1350</v>
      </c>
      <c r="D4" s="54" t="n">
        <v>1450</v>
      </c>
      <c r="E4" s="63" t="n"/>
      <c r="F4" s="63" t="n"/>
      <c r="G4" s="63" t="n"/>
      <c r="H4" s="63" t="n"/>
      <c r="I4" s="63" t="n"/>
    </row>
    <row r="5" ht="15" customHeight="1" s="40">
      <c r="A5" s="48" t="inlineStr">
        <is>
          <t>Interbank Placements</t>
        </is>
      </c>
      <c r="B5" s="54" t="n">
        <v>800</v>
      </c>
      <c r="C5" s="54" t="n">
        <v>850</v>
      </c>
      <c r="D5" s="54" t="n">
        <v>900</v>
      </c>
      <c r="E5" s="63" t="n">
        <v>1100</v>
      </c>
      <c r="F5" s="63" t="n">
        <v>1100</v>
      </c>
      <c r="G5" s="63" t="n">
        <v>1100</v>
      </c>
      <c r="H5" s="63" t="n">
        <v>1100</v>
      </c>
      <c r="I5" s="63" t="n">
        <v>1100</v>
      </c>
    </row>
    <row r="6" ht="15" customHeight="1" s="40">
      <c r="A6" s="48" t="inlineStr">
        <is>
          <t>Investment Securities</t>
        </is>
      </c>
      <c r="B6" s="54" t="n">
        <v>3200</v>
      </c>
      <c r="C6" s="54" t="n">
        <v>3500</v>
      </c>
      <c r="D6" s="54" t="n">
        <v>3750</v>
      </c>
      <c r="E6" s="63" t="n">
        <v>4450</v>
      </c>
      <c r="F6" s="63" t="n">
        <v>4450</v>
      </c>
      <c r="G6" s="63" t="n">
        <v>4450</v>
      </c>
      <c r="H6" s="63" t="n">
        <v>4450</v>
      </c>
      <c r="I6" s="63" t="n">
        <v>4450</v>
      </c>
    </row>
    <row r="7" ht="15" customHeight="1" s="40">
      <c r="A7" s="48" t="inlineStr">
        <is>
          <t>Gross Loans &amp; Advances</t>
        </is>
      </c>
      <c r="B7" s="54" t="n">
        <v>12000</v>
      </c>
      <c r="C7" s="54" t="n">
        <v>13200</v>
      </c>
      <c r="D7" s="54" t="n">
        <v>14400</v>
      </c>
      <c r="E7" s="63" t="n"/>
      <c r="F7" s="63" t="n"/>
      <c r="G7" s="63" t="n"/>
      <c r="H7" s="63" t="n"/>
      <c r="I7" s="63" t="n"/>
    </row>
    <row r="8" ht="15" customHeight="1" s="40">
      <c r="A8" s="48" t="inlineStr">
        <is>
          <t>Less: Loan Loss Reserves</t>
        </is>
      </c>
      <c r="B8" s="54" t="n">
        <v>-220</v>
      </c>
      <c r="C8" s="54" t="n">
        <v>-240</v>
      </c>
      <c r="D8" s="54" t="n">
        <v>-260</v>
      </c>
      <c r="E8" s="63" t="n"/>
      <c r="F8" s="63" t="n"/>
      <c r="G8" s="63" t="n"/>
      <c r="H8" s="63" t="n"/>
      <c r="I8" s="63" t="n"/>
    </row>
    <row r="9" ht="15" customHeight="1" s="40">
      <c r="A9" s="64" t="inlineStr">
        <is>
          <t>Net Loans &amp; Advances</t>
        </is>
      </c>
      <c r="B9" s="65">
        <f>B7+B8</f>
        <v/>
      </c>
      <c r="C9" s="65">
        <f>C7+C8</f>
        <v/>
      </c>
      <c r="D9" s="65">
        <f>D7+D8</f>
        <v/>
      </c>
      <c r="E9" s="65">
        <f>E7+E8</f>
        <v/>
      </c>
      <c r="F9" s="65">
        <f>F7+F8</f>
        <v/>
      </c>
      <c r="G9" s="65">
        <f>G7+G8</f>
        <v/>
      </c>
      <c r="H9" s="65">
        <f>H7+H8</f>
        <v/>
      </c>
      <c r="I9" s="65">
        <f>I7+I8</f>
        <v/>
      </c>
    </row>
    <row r="10" ht="15" customHeight="1" s="40">
      <c r="A10" s="48" t="inlineStr">
        <is>
          <t>Fixed Assets &amp; ROU</t>
        </is>
      </c>
      <c r="B10" s="54" t="n">
        <v>420</v>
      </c>
      <c r="C10" s="54" t="n">
        <v>415</v>
      </c>
      <c r="D10" s="54" t="n">
        <v>410</v>
      </c>
      <c r="E10" s="63" t="n"/>
      <c r="F10" s="63" t="n"/>
      <c r="G10" s="63" t="n"/>
      <c r="H10" s="63" t="n"/>
      <c r="I10" s="63" t="n"/>
    </row>
    <row r="11" ht="15" customHeight="1" s="40">
      <c r="A11" s="48" t="inlineStr">
        <is>
          <t>Goodwill &amp; Intangibles</t>
        </is>
      </c>
      <c r="B11" s="54" t="n">
        <v>380</v>
      </c>
      <c r="C11" s="54" t="n">
        <v>375</v>
      </c>
      <c r="D11" s="54" t="n">
        <v>370</v>
      </c>
      <c r="E11" s="63" t="n"/>
      <c r="F11" s="63" t="n"/>
      <c r="G11" s="63" t="n"/>
      <c r="H11" s="63" t="n"/>
      <c r="I11" s="63" t="n"/>
    </row>
    <row r="12" ht="15" customHeight="1" s="40">
      <c r="A12" s="48" t="inlineStr">
        <is>
          <t>Other Assets (Deferred Tax, Derivatives)</t>
        </is>
      </c>
      <c r="B12" s="54" t="n">
        <v>350</v>
      </c>
      <c r="C12" s="54" t="n">
        <v>370</v>
      </c>
      <c r="D12" s="54" t="n">
        <v>390</v>
      </c>
      <c r="E12" s="63" t="n"/>
      <c r="F12" s="63" t="n"/>
      <c r="G12" s="63" t="n"/>
      <c r="H12" s="63" t="n"/>
      <c r="I12" s="63" t="n"/>
    </row>
    <row r="13" ht="15" customHeight="1" s="40">
      <c r="A13" s="66" t="inlineStr">
        <is>
          <t>TOTAL ASSETS</t>
        </is>
      </c>
      <c r="B13" s="67">
        <f>B4+B5+B6+B9+B10+B11+B12</f>
        <v/>
      </c>
      <c r="C13" s="67">
        <f>C4+C5+C6+C9+C10+C11+C12</f>
        <v/>
      </c>
      <c r="D13" s="67">
        <f>D4+D5+D6+D9+D10+D11+D12</f>
        <v/>
      </c>
      <c r="E13" s="67">
        <f>E4+E5+E6+E9+E10+E11+E12</f>
        <v/>
      </c>
      <c r="F13" s="67">
        <f>F4+F5+F6+F9+F10+F11+F12</f>
        <v/>
      </c>
      <c r="G13" s="67">
        <f>G4+G5+G6+G9+G10+G11+G12</f>
        <v/>
      </c>
      <c r="H13" s="67">
        <f>H4+H5+H6+H9+H10+H11+H12</f>
        <v/>
      </c>
      <c r="I13" s="67">
        <f>I4+I5+I6+I9+I10+I11+I12</f>
        <v/>
      </c>
    </row>
    <row r="14"/>
    <row r="15" ht="15" customHeight="1" s="40">
      <c r="A15" s="44" t="inlineStr">
        <is>
          <t>LIABILITIES</t>
        </is>
      </c>
      <c r="B15" s="45" t="n"/>
      <c r="C15" s="45" t="n"/>
      <c r="D15" s="45" t="n"/>
      <c r="E15" s="45" t="n"/>
      <c r="F15" s="45" t="n"/>
      <c r="G15" s="46" t="n"/>
      <c r="H15" s="47" t="n"/>
      <c r="I15" s="47" t="n"/>
    </row>
    <row r="16" ht="15" customHeight="1" s="40">
      <c r="A16" s="48" t="inlineStr">
        <is>
          <t>CASA Deposits (Current &amp; Savings)</t>
        </is>
      </c>
      <c r="B16" s="54" t="n">
        <v>5500</v>
      </c>
      <c r="C16" s="54" t="n">
        <v>6000</v>
      </c>
      <c r="D16" s="54" t="n">
        <v>6500</v>
      </c>
      <c r="E16" s="63" t="n"/>
      <c r="F16" s="63" t="n"/>
      <c r="G16" s="63" t="n"/>
      <c r="H16" s="63" t="n"/>
      <c r="I16" s="63" t="n"/>
    </row>
    <row r="17" ht="15" customHeight="1" s="40">
      <c r="A17" s="48" t="inlineStr">
        <is>
          <t>Term / Fixed Deposits</t>
        </is>
      </c>
      <c r="B17" s="54" t="n">
        <v>4000</v>
      </c>
      <c r="C17" s="54" t="n">
        <v>4400</v>
      </c>
      <c r="D17" s="54" t="n">
        <v>4800</v>
      </c>
      <c r="E17" s="63" t="n"/>
      <c r="F17" s="63" t="n"/>
      <c r="G17" s="63" t="n"/>
      <c r="H17" s="63" t="n"/>
      <c r="I17" s="63" t="n"/>
    </row>
    <row r="18" ht="15" customHeight="1" s="40">
      <c r="A18" s="64" t="inlineStr">
        <is>
          <t>Total Customer Deposits</t>
        </is>
      </c>
      <c r="B18" s="65">
        <f>B16+B17</f>
        <v/>
      </c>
      <c r="C18" s="65">
        <f>C16+C17</f>
        <v/>
      </c>
      <c r="D18" s="65">
        <f>D16+D17</f>
        <v/>
      </c>
      <c r="E18" s="65">
        <f>E16+E17</f>
        <v/>
      </c>
      <c r="F18" s="65">
        <f>F16+F17</f>
        <v/>
      </c>
      <c r="G18" s="65">
        <f>G16+G17</f>
        <v/>
      </c>
      <c r="H18" s="65">
        <f>H16+H17</f>
        <v/>
      </c>
      <c r="I18" s="65">
        <f>I16+I17</f>
        <v/>
      </c>
    </row>
    <row r="19" ht="15" customHeight="1" s="40">
      <c r="A19" s="48" t="inlineStr">
        <is>
          <t>Interbank Borrowings</t>
        </is>
      </c>
      <c r="B19" s="54" t="n">
        <v>700</v>
      </c>
      <c r="C19" s="54" t="n">
        <v>750</v>
      </c>
      <c r="D19" s="54" t="n">
        <v>800</v>
      </c>
      <c r="E19" s="63" t="n">
        <v>1000</v>
      </c>
      <c r="F19" s="63" t="n">
        <v>1000</v>
      </c>
      <c r="G19" s="63" t="n">
        <v>1000</v>
      </c>
      <c r="H19" s="63" t="n">
        <v>1000</v>
      </c>
      <c r="I19" s="63" t="n">
        <v>1000</v>
      </c>
    </row>
    <row r="20" ht="15" customHeight="1" s="40">
      <c r="A20" s="48" t="inlineStr">
        <is>
          <t>Debt Securities Issued</t>
        </is>
      </c>
      <c r="B20" s="54" t="n">
        <v>1200</v>
      </c>
      <c r="C20" s="54" t="n">
        <v>1300</v>
      </c>
      <c r="D20" s="54" t="n">
        <v>1350</v>
      </c>
      <c r="E20" s="63" t="n"/>
      <c r="F20" s="63" t="n"/>
      <c r="G20" s="63" t="n"/>
      <c r="H20" s="63" t="n"/>
      <c r="I20" s="63" t="n"/>
    </row>
    <row r="21" ht="15" customHeight="1" s="40">
      <c r="A21" s="48" t="inlineStr">
        <is>
          <t>Subordinated Debt</t>
        </is>
      </c>
      <c r="B21" s="54" t="n">
        <v>400</v>
      </c>
      <c r="C21" s="54" t="n">
        <v>400</v>
      </c>
      <c r="D21" s="54" t="n">
        <v>400</v>
      </c>
      <c r="E21" s="63" t="n">
        <v>1200</v>
      </c>
      <c r="F21" s="63" t="n">
        <v>1200</v>
      </c>
      <c r="G21" s="63" t="n">
        <v>1200</v>
      </c>
      <c r="H21" s="63" t="n">
        <v>1200</v>
      </c>
      <c r="I21" s="63" t="n">
        <v>1200</v>
      </c>
    </row>
    <row r="22" ht="15" customHeight="1" s="40">
      <c r="A22" s="48" t="inlineStr">
        <is>
          <t>Other Liabilities (Derivatives, Accruals)</t>
        </is>
      </c>
      <c r="B22" s="54" t="n">
        <v>280</v>
      </c>
      <c r="C22" s="54" t="n">
        <v>295</v>
      </c>
      <c r="D22" s="54" t="n">
        <v>310</v>
      </c>
      <c r="E22" s="63" t="n"/>
      <c r="F22" s="63" t="n"/>
      <c r="G22" s="63" t="n"/>
      <c r="H22" s="63" t="n"/>
      <c r="I22" s="63" t="n"/>
    </row>
    <row r="23" ht="15" customHeight="1" s="40">
      <c r="A23" s="66" t="inlineStr">
        <is>
          <t>TOTAL LIABILITIES</t>
        </is>
      </c>
      <c r="B23" s="67">
        <f>B18+B19+B20+B21+B22</f>
        <v/>
      </c>
      <c r="C23" s="67">
        <f>C18+C19+C20+C21+C22</f>
        <v/>
      </c>
      <c r="D23" s="67">
        <f>D18+D19+D20+D21+D22</f>
        <v/>
      </c>
      <c r="E23" s="67">
        <f>E18+E19+E20+E21+E22</f>
        <v/>
      </c>
      <c r="F23" s="67">
        <f>F18+F19+F20+F21+F22</f>
        <v/>
      </c>
      <c r="G23" s="67">
        <f>G18+G19+G20+G21+G22</f>
        <v/>
      </c>
      <c r="H23" s="67">
        <f>H18+H19+H20+H21+H22</f>
        <v/>
      </c>
      <c r="I23" s="67">
        <f>I18+I19+I20+I21+I22</f>
        <v/>
      </c>
    </row>
    <row r="24"/>
    <row r="25" ht="15" customHeight="1" s="40">
      <c r="A25" s="44" t="inlineStr">
        <is>
          <t>SHAREHOLDERS' EQUITY</t>
        </is>
      </c>
      <c r="B25" s="45" t="n"/>
      <c r="C25" s="45" t="n"/>
      <c r="D25" s="45" t="n"/>
      <c r="E25" s="45" t="n"/>
      <c r="F25" s="45" t="n"/>
      <c r="G25" s="46" t="n"/>
      <c r="H25" s="47" t="n"/>
      <c r="I25" s="47" t="n"/>
    </row>
    <row r="26" ht="15" customHeight="1" s="40">
      <c r="A26" s="48" t="inlineStr">
        <is>
          <t>Share Capital &amp; Premium</t>
        </is>
      </c>
      <c r="B26" s="54" t="n">
        <v>900</v>
      </c>
      <c r="C26" s="54" t="n">
        <v>900</v>
      </c>
      <c r="D26" s="54" t="n">
        <v>900</v>
      </c>
      <c r="E26" s="63" t="n"/>
      <c r="F26" s="63" t="n"/>
      <c r="G26" s="63" t="n"/>
      <c r="H26" s="63" t="n"/>
      <c r="I26" s="63" t="n"/>
    </row>
    <row r="27" ht="15" customHeight="1" s="40">
      <c r="A27" s="48" t="inlineStr">
        <is>
          <t>Retained Earnings</t>
        </is>
      </c>
      <c r="B27" s="54" t="n">
        <v>1250</v>
      </c>
      <c r="C27" s="54" t="n">
        <v>1380</v>
      </c>
      <c r="D27" s="54" t="n">
        <v>1530</v>
      </c>
      <c r="E27" s="63" t="n">
        <v>1301.8</v>
      </c>
      <c r="F27" s="63" t="n">
        <v>1078.475</v>
      </c>
      <c r="G27" s="63" t="n">
        <v>858.1499999999999</v>
      </c>
      <c r="H27" s="63" t="n">
        <v>639.8499999999999</v>
      </c>
      <c r="I27" s="63" t="n">
        <v>423.5749999999999</v>
      </c>
    </row>
    <row r="28" ht="15" customHeight="1" s="40">
      <c r="A28" s="48" t="inlineStr">
        <is>
          <t>Other Comprehensive Income (OCI)</t>
        </is>
      </c>
      <c r="B28" s="54" t="n">
        <v>80</v>
      </c>
      <c r="C28" s="54" t="n">
        <v>75</v>
      </c>
      <c r="D28" s="54" t="n">
        <v>70</v>
      </c>
      <c r="E28" s="63" t="n"/>
      <c r="F28" s="63" t="n"/>
      <c r="G28" s="63" t="n"/>
      <c r="H28" s="63" t="n"/>
      <c r="I28" s="63" t="n"/>
    </row>
    <row r="29" ht="15" customHeight="1" s="40">
      <c r="A29" s="48" t="inlineStr">
        <is>
          <t>AT1 Capital Instruments</t>
        </is>
      </c>
      <c r="B29" s="54" t="n">
        <v>300</v>
      </c>
      <c r="C29" s="54" t="n">
        <v>300</v>
      </c>
      <c r="D29" s="54" t="n">
        <v>300</v>
      </c>
      <c r="E29" s="63" t="n"/>
      <c r="F29" s="63" t="n"/>
      <c r="G29" s="63" t="n"/>
      <c r="H29" s="63" t="n"/>
      <c r="I29" s="63" t="n"/>
    </row>
    <row r="30" ht="15" customHeight="1" s="40">
      <c r="A30" s="64" t="inlineStr">
        <is>
          <t>TOTAL EQUITY</t>
        </is>
      </c>
      <c r="B30" s="65">
        <f>SUM(B26:B29)</f>
        <v/>
      </c>
      <c r="C30" s="65">
        <f>SUM(C26:C29)</f>
        <v/>
      </c>
      <c r="D30" s="65">
        <f>SUM(D26:D29)</f>
        <v/>
      </c>
      <c r="E30" s="65">
        <f>SUM(E26:E29)</f>
        <v/>
      </c>
      <c r="F30" s="65">
        <f>SUM(F26:F29)</f>
        <v/>
      </c>
      <c r="G30" s="65">
        <f>SUM(G26:G29)</f>
        <v/>
      </c>
      <c r="H30" s="65">
        <f>SUM(H26:H29)</f>
        <v/>
      </c>
      <c r="I30" s="65">
        <f>SUM(I26:I29)</f>
        <v/>
      </c>
    </row>
    <row r="31" ht="15" customHeight="1" s="40">
      <c r="A31" s="66" t="inlineStr">
        <is>
          <t>TOTAL LIABILITIES &amp; EQUITY</t>
        </is>
      </c>
      <c r="B31" s="67">
        <f>B23+B30</f>
        <v/>
      </c>
      <c r="C31" s="67">
        <f>C23+C30</f>
        <v/>
      </c>
      <c r="D31" s="67">
        <f>D23+D30</f>
        <v/>
      </c>
      <c r="E31" s="67">
        <f>E23+E30</f>
        <v/>
      </c>
      <c r="F31" s="67">
        <f>F23+F30</f>
        <v/>
      </c>
      <c r="G31" s="67">
        <f>G23+G30</f>
        <v/>
      </c>
      <c r="H31" s="67">
        <f>H23+H30</f>
        <v/>
      </c>
      <c r="I31" s="67">
        <f>I23+I30</f>
        <v/>
      </c>
    </row>
    <row r="32"/>
    <row r="33" ht="15" customHeight="1" s="40">
      <c r="A33" s="44" t="inlineStr">
        <is>
          <t>BALANCE SHEET CHECK</t>
        </is>
      </c>
      <c r="B33" s="45" t="n"/>
      <c r="C33" s="45" t="n"/>
      <c r="D33" s="45" t="n"/>
      <c r="E33" s="45" t="n"/>
      <c r="F33" s="45" t="n"/>
      <c r="G33" s="46" t="n"/>
      <c r="H33" s="47" t="n"/>
      <c r="I33" s="47" t="n"/>
    </row>
    <row r="34" ht="15" customHeight="1" s="40">
      <c r="A34" s="72" t="inlineStr">
        <is>
          <t>CHECK (Assets – Liab. &amp; Equity) → Must = 0</t>
        </is>
      </c>
      <c r="B34" s="73">
        <f>B13-B31</f>
        <v/>
      </c>
      <c r="C34" s="73">
        <f>C13-C31</f>
        <v/>
      </c>
      <c r="D34" s="73">
        <f>D13-D31</f>
        <v/>
      </c>
      <c r="E34" s="73">
        <f>E13-E31</f>
        <v/>
      </c>
      <c r="F34" s="73">
        <f>F13-F31</f>
        <v/>
      </c>
      <c r="G34" s="73">
        <f>G13-G31</f>
        <v/>
      </c>
      <c r="H34" s="73">
        <f>H13-H31</f>
        <v/>
      </c>
      <c r="I34" s="73">
        <f>I13-I31</f>
        <v/>
      </c>
    </row>
    <row r="35"/>
    <row r="36" ht="15" customHeight="1" s="40">
      <c r="A36" s="44" t="inlineStr">
        <is>
          <t>KEY BALANCE SHEET RATIOS</t>
        </is>
      </c>
      <c r="B36" s="45" t="n"/>
      <c r="C36" s="45" t="n"/>
      <c r="D36" s="45" t="n"/>
      <c r="E36" s="45" t="n"/>
      <c r="F36" s="45" t="n"/>
      <c r="G36" s="46" t="n"/>
      <c r="H36" s="47" t="n"/>
      <c r="I36" s="47" t="n"/>
    </row>
    <row r="37" ht="15" customHeight="1" s="40">
      <c r="A37" s="48" t="inlineStr">
        <is>
          <t>Loan-to-Deposit Ratio (LDR %)</t>
        </is>
      </c>
      <c r="B37" s="69">
        <f>IFERROR(B7/B18,"—")</f>
        <v/>
      </c>
      <c r="C37" s="69">
        <f>IFERROR(C7/C18,"—")</f>
        <v/>
      </c>
      <c r="D37" s="69">
        <f>IFERROR(D7/D18,"—")</f>
        <v/>
      </c>
      <c r="E37" s="69">
        <f>IFERROR(E7/E18,"—")</f>
        <v/>
      </c>
      <c r="F37" s="69">
        <f>IFERROR(F7/F18,"—")</f>
        <v/>
      </c>
      <c r="G37" s="69">
        <f>IFERROR(G7/G18,"—")</f>
        <v/>
      </c>
      <c r="H37" s="69">
        <f>IFERROR(H7/H18,"—")</f>
        <v/>
      </c>
      <c r="I37" s="69">
        <f>IFERROR(I7/I18,"—")</f>
        <v/>
      </c>
    </row>
    <row r="38" ht="15" customHeight="1" s="40">
      <c r="A38" s="48" t="inlineStr">
        <is>
          <t>CASA Ratio (%)</t>
        </is>
      </c>
      <c r="B38" s="69">
        <f>IFERROR(B16/B18,"—")</f>
        <v/>
      </c>
      <c r="C38" s="69">
        <f>IFERROR(C16/C18,"—")</f>
        <v/>
      </c>
      <c r="D38" s="69">
        <f>IFERROR(D16/D18,"—")</f>
        <v/>
      </c>
      <c r="E38" s="69">
        <f>IFERROR(E16/E18,"—")</f>
        <v/>
      </c>
      <c r="F38" s="69">
        <f>IFERROR(F16/F18,"—")</f>
        <v/>
      </c>
      <c r="G38" s="69">
        <f>IFERROR(G16/G18,"—")</f>
        <v/>
      </c>
      <c r="H38" s="69">
        <f>IFERROR(H16/H18,"—")</f>
        <v/>
      </c>
      <c r="I38" s="69">
        <f>IFERROR(I16/I18,"—")</f>
        <v/>
      </c>
    </row>
    <row r="39" ht="15" customHeight="1" s="40">
      <c r="A39" s="48" t="inlineStr">
        <is>
          <t>NPL Ratio (%)</t>
        </is>
      </c>
      <c r="B39" s="68" t="n"/>
      <c r="C39" s="68" t="n"/>
      <c r="D39" s="68" t="n"/>
      <c r="E39" s="68" t="n"/>
      <c r="F39" s="68" t="n"/>
      <c r="G39" s="68" t="n"/>
      <c r="H39" s="68" t="n"/>
      <c r="I39" s="68" t="n"/>
    </row>
    <row r="40" ht="15" customHeight="1" s="40">
      <c r="A40" s="48" t="inlineStr">
        <is>
          <t>CET1 Ratio (%)</t>
        </is>
      </c>
      <c r="B40" s="69" t="n"/>
      <c r="C40" s="69" t="n"/>
      <c r="D40" s="69" t="n"/>
      <c r="E40" s="69" t="n"/>
      <c r="F40" s="69" t="n"/>
      <c r="G40" s="69" t="n"/>
      <c r="H40" s="69" t="n"/>
      <c r="I40" s="69" t="n"/>
    </row>
    <row r="41" ht="15" customHeight="1" s="40">
      <c r="A41" s="48" t="inlineStr">
        <is>
          <t>Leverage Ratio (Assets/Equity x)</t>
        </is>
      </c>
      <c r="B41" s="74">
        <f>IFERROR(B13/B30,"—")</f>
        <v/>
      </c>
      <c r="C41" s="74">
        <f>IFERROR(C13/C30,"—")</f>
        <v/>
      </c>
      <c r="D41" s="74">
        <f>IFERROR(D13/D30,"—")</f>
        <v/>
      </c>
      <c r="E41" s="74">
        <f>IFERROR(E13/E30,"—")</f>
        <v/>
      </c>
      <c r="F41" s="74">
        <f>IFERROR(F13/F30,"—")</f>
        <v/>
      </c>
      <c r="G41" s="74">
        <f>IFERROR(G13/G30,"—")</f>
        <v/>
      </c>
      <c r="H41" s="74">
        <f>IFERROR(H13/H30,"—")</f>
        <v/>
      </c>
      <c r="I41" s="74">
        <f>IFERROR(I13/I30,"—")</f>
        <v/>
      </c>
    </row>
  </sheetData>
  <mergeCells count="6">
    <mergeCell ref="A36:G36"/>
    <mergeCell ref="A1:G1"/>
    <mergeCell ref="A3:G3"/>
    <mergeCell ref="A15:G15"/>
    <mergeCell ref="A25:G25"/>
    <mergeCell ref="A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9E480E"/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39" min="1" max="1"/>
    <col width="14" customWidth="1" style="39" min="2" max="9"/>
  </cols>
  <sheetData>
    <row r="1" ht="17.25" customHeight="1" s="40">
      <c r="A1" s="41" t="inlineStr">
        <is>
          <t>CAPITAL ADEQUACY (BASEL III)  ($mm)</t>
        </is>
      </c>
    </row>
    <row r="2" ht="15" customHeight="1" s="40">
      <c r="A2" s="71" t="inlineStr">
        <is>
          <t>($mm / %)</t>
        </is>
      </c>
      <c r="B2" s="43" t="inlineStr">
        <is>
          <t>FY2022A</t>
        </is>
      </c>
      <c r="C2" s="43" t="inlineStr">
        <is>
          <t>FY2023A</t>
        </is>
      </c>
      <c r="D2" s="43" t="inlineStr">
        <is>
          <t>FY2024A</t>
        </is>
      </c>
      <c r="E2" s="43" t="inlineStr">
        <is>
          <t>FY2025E</t>
        </is>
      </c>
      <c r="F2" s="43" t="inlineStr">
        <is>
          <t>FY2026E</t>
        </is>
      </c>
      <c r="G2" s="43" t="inlineStr">
        <is>
          <t>FY2027E</t>
        </is>
      </c>
      <c r="H2" s="43" t="inlineStr">
        <is>
          <t>FY2028E</t>
        </is>
      </c>
      <c r="I2" s="43" t="inlineStr">
        <is>
          <t>FY2029E</t>
        </is>
      </c>
    </row>
    <row r="3" ht="15" customHeight="1" s="40">
      <c r="A3" s="44" t="inlineStr">
        <is>
          <t>REGULATORY CAPITAL</t>
        </is>
      </c>
      <c r="B3" s="45" t="n"/>
      <c r="C3" s="45" t="n"/>
      <c r="D3" s="45" t="n"/>
      <c r="E3" s="45" t="n"/>
      <c r="F3" s="45" t="n"/>
      <c r="G3" s="46" t="n"/>
      <c r="H3" s="47" t="n"/>
      <c r="I3" s="47" t="n"/>
    </row>
    <row r="4" ht="15" customHeight="1" s="40">
      <c r="A4" s="48" t="inlineStr">
        <is>
          <t>Common Equity Tier 1 (CET1)</t>
        </is>
      </c>
      <c r="B4" s="54" t="n">
        <v>1200</v>
      </c>
      <c r="C4" s="54" t="n">
        <v>1320</v>
      </c>
      <c r="D4" s="54" t="n">
        <v>1460</v>
      </c>
      <c r="E4" s="63" t="n"/>
      <c r="F4" s="63" t="n"/>
      <c r="G4" s="63" t="n"/>
      <c r="H4" s="63" t="n"/>
      <c r="I4" s="63" t="n"/>
    </row>
    <row r="5" ht="15" customHeight="1" s="40">
      <c r="A5" s="48" t="inlineStr">
        <is>
          <t>Additional Tier 1 (AT1)</t>
        </is>
      </c>
      <c r="B5" s="54" t="n">
        <v>300</v>
      </c>
      <c r="C5" s="54" t="n">
        <v>300</v>
      </c>
      <c r="D5" s="54" t="n">
        <v>300</v>
      </c>
      <c r="E5" s="63" t="n"/>
      <c r="F5" s="63" t="n"/>
      <c r="G5" s="63" t="n"/>
      <c r="H5" s="63" t="n"/>
      <c r="I5" s="63" t="n"/>
    </row>
    <row r="6" ht="15" customHeight="1" s="40">
      <c r="A6" s="48" t="inlineStr">
        <is>
          <t>Tier 2 Capital (Sub Debt + Reserves)</t>
        </is>
      </c>
      <c r="B6" s="54" t="n">
        <v>450</v>
      </c>
      <c r="C6" s="54" t="n">
        <v>455</v>
      </c>
      <c r="D6" s="54" t="n">
        <v>460</v>
      </c>
      <c r="E6" s="63" t="n"/>
      <c r="F6" s="63" t="n"/>
      <c r="G6" s="63" t="n"/>
      <c r="H6" s="63" t="n"/>
      <c r="I6" s="63" t="n"/>
    </row>
    <row r="7"/>
    <row r="8" ht="15" customHeight="1" s="40">
      <c r="A8" s="44" t="inlineStr">
        <is>
          <t>RISK-WEIGHTED ASSETS (RWA)</t>
        </is>
      </c>
      <c r="B8" s="45" t="n"/>
      <c r="C8" s="45" t="n"/>
      <c r="D8" s="45" t="n"/>
      <c r="E8" s="45" t="n"/>
      <c r="F8" s="45" t="n"/>
      <c r="G8" s="46" t="n"/>
      <c r="H8" s="47" t="n"/>
      <c r="I8" s="47" t="n"/>
    </row>
    <row r="9" ht="15" customHeight="1" s="40">
      <c r="A9" s="48" t="inlineStr">
        <is>
          <t>Credit Risk RWA</t>
        </is>
      </c>
      <c r="B9" s="54" t="n">
        <v>8500</v>
      </c>
      <c r="C9" s="54" t="n">
        <v>9350</v>
      </c>
      <c r="D9" s="54" t="n">
        <v>10200</v>
      </c>
      <c r="E9" s="63" t="n">
        <v>0</v>
      </c>
      <c r="F9" s="63" t="n">
        <v>0</v>
      </c>
      <c r="G9" s="63" t="n">
        <v>0</v>
      </c>
      <c r="H9" s="63" t="n">
        <v>0</v>
      </c>
      <c r="I9" s="63" t="n">
        <v>0</v>
      </c>
    </row>
    <row r="10" ht="15" customHeight="1" s="40">
      <c r="A10" s="48" t="inlineStr">
        <is>
          <t>Market Risk RWA</t>
        </is>
      </c>
      <c r="B10" s="54" t="n">
        <v>800</v>
      </c>
      <c r="C10" s="54" t="n">
        <v>850</v>
      </c>
      <c r="D10" s="54" t="n">
        <v>900</v>
      </c>
      <c r="E10" s="63" t="n">
        <v>0</v>
      </c>
      <c r="F10" s="63" t="n">
        <v>0</v>
      </c>
      <c r="G10" s="63" t="n">
        <v>0</v>
      </c>
      <c r="H10" s="63" t="n">
        <v>0</v>
      </c>
      <c r="I10" s="63" t="n">
        <v>0</v>
      </c>
    </row>
    <row r="11" ht="15" customHeight="1" s="40">
      <c r="A11" s="48" t="inlineStr">
        <is>
          <t>Operational Risk RWA</t>
        </is>
      </c>
      <c r="B11" s="54" t="n">
        <v>600</v>
      </c>
      <c r="C11" s="54" t="n">
        <v>640</v>
      </c>
      <c r="D11" s="54" t="n">
        <v>680</v>
      </c>
      <c r="E11" s="63" t="n">
        <v>0</v>
      </c>
      <c r="F11" s="63" t="n">
        <v>0</v>
      </c>
      <c r="G11" s="63" t="n">
        <v>0</v>
      </c>
      <c r="H11" s="63" t="n">
        <v>0</v>
      </c>
      <c r="I11" s="63" t="n">
        <v>0</v>
      </c>
    </row>
    <row r="12"/>
    <row r="13" ht="15" customHeight="1" s="40">
      <c r="A13" s="44" t="inlineStr">
        <is>
          <t>CAPITAL RATIOS</t>
        </is>
      </c>
      <c r="B13" s="45" t="n"/>
      <c r="C13" s="45" t="n"/>
      <c r="D13" s="45" t="n"/>
      <c r="E13" s="45" t="n"/>
      <c r="F13" s="45" t="n"/>
      <c r="G13" s="46" t="n"/>
      <c r="H13" s="47" t="n"/>
      <c r="I13" s="47" t="n"/>
    </row>
    <row r="14" ht="15" customHeight="1" s="40">
      <c r="A14" s="48" t="inlineStr">
        <is>
          <t>CET1 Ratio (%)</t>
        </is>
      </c>
      <c r="B14" s="69" t="n"/>
      <c r="C14" s="69" t="n"/>
      <c r="D14" s="69" t="n"/>
      <c r="E14" s="69" t="n"/>
      <c r="F14" s="69" t="n"/>
      <c r="G14" s="69" t="n"/>
      <c r="H14" s="69" t="n"/>
      <c r="I14" s="69" t="n"/>
    </row>
    <row r="15" ht="15" customHeight="1" s="40">
      <c r="A15" s="48" t="inlineStr">
        <is>
          <t>Tier 1 Ratio (%)</t>
        </is>
      </c>
      <c r="B15" s="69" t="n"/>
      <c r="C15" s="69" t="n"/>
      <c r="D15" s="69" t="n"/>
      <c r="E15" s="69" t="n"/>
      <c r="F15" s="69" t="n"/>
      <c r="G15" s="69" t="n"/>
      <c r="H15" s="69" t="n"/>
      <c r="I15" s="69" t="n"/>
    </row>
    <row r="16" ht="15" customHeight="1" s="40">
      <c r="A16" s="48" t="inlineStr">
        <is>
          <t>Total Capital Adequacy Ratio (%)</t>
        </is>
      </c>
      <c r="B16" s="69" t="n"/>
      <c r="C16" s="69" t="n"/>
      <c r="D16" s="69" t="n"/>
      <c r="E16" s="69" t="n"/>
      <c r="F16" s="69" t="n"/>
      <c r="G16" s="69" t="n"/>
      <c r="H16" s="69" t="n"/>
      <c r="I16" s="69" t="n"/>
    </row>
    <row r="17" ht="15" customHeight="1" s="40">
      <c r="A17" s="48" t="inlineStr">
        <is>
          <t>Minimum CET1 Requirement (%)</t>
        </is>
      </c>
      <c r="B17" s="50" t="n">
        <v>0.08500000000000001</v>
      </c>
      <c r="C17" s="50" t="n">
        <v>0.08500000000000001</v>
      </c>
      <c r="D17" s="50" t="n">
        <v>0.08500000000000001</v>
      </c>
      <c r="E17" s="50" t="n">
        <v>0.08500000000000001</v>
      </c>
      <c r="F17" s="50" t="n">
        <v>0.08500000000000001</v>
      </c>
      <c r="G17" s="50" t="n">
        <v>0.08500000000000001</v>
      </c>
      <c r="H17" s="50" t="n"/>
      <c r="I17" s="50" t="n"/>
    </row>
    <row r="18" ht="15" customHeight="1" s="40">
      <c r="A18" s="48" t="inlineStr">
        <is>
          <t>CET1 Buffer above Minimum</t>
        </is>
      </c>
      <c r="B18" s="69" t="n"/>
      <c r="C18" s="69" t="n"/>
      <c r="D18" s="69" t="n"/>
      <c r="E18" s="69" t="n"/>
      <c r="F18" s="69" t="n"/>
      <c r="G18" s="69" t="n"/>
      <c r="H18" s="69" t="n"/>
      <c r="I18" s="69" t="n"/>
    </row>
  </sheetData>
  <mergeCells count="4">
    <mergeCell ref="A8:G8"/>
    <mergeCell ref="A3:G3"/>
    <mergeCell ref="A13:G13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I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39" min="1" max="1"/>
    <col width="14" customWidth="1" style="39" min="2" max="9"/>
  </cols>
  <sheetData>
    <row r="1" ht="17.25" customHeight="1" s="40">
      <c r="A1" s="41" t="inlineStr">
        <is>
          <t>CASH FLOW STATEMENT  ($mm)</t>
        </is>
      </c>
    </row>
    <row r="2" ht="15" customHeight="1" s="40">
      <c r="A2" s="71" t="inlineStr">
        <is>
          <t>($mm)</t>
        </is>
      </c>
      <c r="B2" s="43" t="inlineStr">
        <is>
          <t>FY2022A</t>
        </is>
      </c>
      <c r="C2" s="43" t="inlineStr">
        <is>
          <t>FY2023A</t>
        </is>
      </c>
      <c r="D2" s="43" t="inlineStr">
        <is>
          <t>FY2024A</t>
        </is>
      </c>
      <c r="E2" s="43" t="inlineStr">
        <is>
          <t>FY2025E</t>
        </is>
      </c>
      <c r="F2" s="43" t="inlineStr">
        <is>
          <t>FY2026E</t>
        </is>
      </c>
      <c r="G2" s="43" t="inlineStr">
        <is>
          <t>FY2027E</t>
        </is>
      </c>
      <c r="H2" s="43" t="inlineStr">
        <is>
          <t>FY2028E</t>
        </is>
      </c>
      <c r="I2" s="43" t="inlineStr">
        <is>
          <t>FY2029E</t>
        </is>
      </c>
    </row>
    <row r="3" ht="15" customHeight="1" s="40">
      <c r="A3" s="75" t="inlineStr">
        <is>
          <t>Opening Cash Balance</t>
        </is>
      </c>
      <c r="B3" s="76" t="n">
        <v>1050</v>
      </c>
      <c r="C3" s="76" t="n">
        <v>1200</v>
      </c>
      <c r="D3" s="76" t="n">
        <v>1350</v>
      </c>
      <c r="E3" s="77" t="n"/>
      <c r="F3" s="77" t="n"/>
      <c r="G3" s="77" t="n"/>
      <c r="H3" s="77" t="n"/>
      <c r="I3" s="77" t="n"/>
    </row>
    <row r="4" ht="15" customHeight="1" s="40">
      <c r="A4" s="44" t="inlineStr">
        <is>
          <t>OPERATING ACTIVITIES</t>
        </is>
      </c>
      <c r="B4" s="45" t="n"/>
      <c r="C4" s="45" t="n"/>
      <c r="D4" s="45" t="n"/>
      <c r="E4" s="45" t="n"/>
      <c r="F4" s="45" t="n"/>
      <c r="G4" s="46" t="n"/>
      <c r="H4" s="47" t="n"/>
      <c r="I4" s="47" t="n"/>
    </row>
    <row r="5" ht="15" customHeight="1" s="40">
      <c r="A5" s="48" t="inlineStr">
        <is>
          <t>Net Income</t>
        </is>
      </c>
      <c r="B5" s="54" t="n">
        <v>455</v>
      </c>
      <c r="C5" s="54" t="n">
        <v>490</v>
      </c>
      <c r="D5" s="54" t="n">
        <v>562</v>
      </c>
      <c r="E5" s="63" t="n"/>
      <c r="F5" s="63" t="n"/>
      <c r="G5" s="63" t="n"/>
      <c r="H5" s="63" t="n"/>
      <c r="I5" s="63" t="n"/>
    </row>
    <row r="6" ht="15" customHeight="1" s="40">
      <c r="A6" s="48" t="inlineStr">
        <is>
          <t>Add: Depreciation &amp; Amortisation</t>
        </is>
      </c>
      <c r="B6" s="54" t="n">
        <v>85</v>
      </c>
      <c r="C6" s="54" t="n">
        <v>88</v>
      </c>
      <c r="D6" s="54" t="n">
        <v>91</v>
      </c>
      <c r="E6" s="63" t="n"/>
      <c r="F6" s="63" t="n"/>
      <c r="G6" s="63" t="n"/>
      <c r="H6" s="63" t="n"/>
      <c r="I6" s="63" t="n"/>
    </row>
    <row r="7" ht="15" customHeight="1" s="40">
      <c r="A7" s="48" t="inlineStr">
        <is>
          <t>Add: Loan Loss Provisions</t>
        </is>
      </c>
      <c r="B7" s="54" t="n">
        <v>185</v>
      </c>
      <c r="C7" s="54" t="n">
        <v>175</v>
      </c>
      <c r="D7" s="54" t="n">
        <v>160</v>
      </c>
      <c r="E7" s="63" t="n"/>
      <c r="F7" s="63" t="n"/>
      <c r="G7" s="63" t="n"/>
      <c r="H7" s="63" t="n"/>
      <c r="I7" s="63" t="n"/>
    </row>
    <row r="8" ht="15" customHeight="1" s="40">
      <c r="A8" s="48" t="inlineStr">
        <is>
          <t>Change in Loans (net)</t>
        </is>
      </c>
      <c r="B8" s="63" t="n"/>
      <c r="C8" s="63" t="n"/>
      <c r="D8" s="63" t="n"/>
      <c r="E8" s="63" t="n"/>
      <c r="F8" s="63" t="n"/>
      <c r="G8" s="63" t="n"/>
      <c r="H8" s="63" t="n"/>
      <c r="I8" s="63" t="n"/>
    </row>
    <row r="9" ht="15" customHeight="1" s="40">
      <c r="A9" s="48" t="inlineStr">
        <is>
          <t>Change in Deposits (net)</t>
        </is>
      </c>
      <c r="B9" s="63" t="n"/>
      <c r="C9" s="63" t="n"/>
      <c r="D9" s="63" t="n"/>
      <c r="E9" s="63" t="n"/>
      <c r="F9" s="63" t="n"/>
      <c r="G9" s="63" t="n"/>
      <c r="H9" s="63" t="n"/>
      <c r="I9" s="63" t="n"/>
    </row>
    <row r="10" ht="15" customHeight="1" s="40">
      <c r="A10" s="48" t="inlineStr">
        <is>
          <t>Change in Other Working Capital</t>
        </is>
      </c>
      <c r="B10" s="63" t="n"/>
      <c r="C10" s="63" t="n"/>
      <c r="D10" s="63" t="n"/>
      <c r="E10" s="63" t="n"/>
      <c r="F10" s="63" t="n"/>
      <c r="G10" s="63" t="n"/>
      <c r="H10" s="63" t="n"/>
      <c r="I10" s="63" t="n"/>
    </row>
    <row r="11" ht="15" customHeight="1" s="40">
      <c r="A11" s="64" t="inlineStr">
        <is>
          <t>Net Cash from Operating Activities</t>
        </is>
      </c>
      <c r="B11" s="65">
        <f>SUM(B5:B10)</f>
        <v/>
      </c>
      <c r="C11" s="65">
        <f>SUM(C5:C10)</f>
        <v/>
      </c>
      <c r="D11" s="65">
        <f>SUM(D5:D10)</f>
        <v/>
      </c>
      <c r="E11" s="65">
        <f>SUM(E5:E10)</f>
        <v/>
      </c>
      <c r="F11" s="65">
        <f>SUM(F5:F10)</f>
        <v/>
      </c>
      <c r="G11" s="65">
        <f>SUM(G5:G10)</f>
        <v/>
      </c>
      <c r="H11" s="65">
        <f>SUM(H5:H10)</f>
        <v/>
      </c>
      <c r="I11" s="65">
        <f>SUM(I5:I10)</f>
        <v/>
      </c>
    </row>
    <row r="12"/>
    <row r="13" ht="15" customHeight="1" s="40">
      <c r="A13" s="44" t="inlineStr">
        <is>
          <t>INVESTING ACTIVITIES</t>
        </is>
      </c>
      <c r="B13" s="45" t="n"/>
      <c r="C13" s="45" t="n"/>
      <c r="D13" s="45" t="n"/>
      <c r="E13" s="45" t="n"/>
      <c r="F13" s="45" t="n"/>
      <c r="G13" s="46" t="n"/>
      <c r="H13" s="47" t="n"/>
      <c r="I13" s="47" t="n"/>
    </row>
    <row r="14" ht="15" customHeight="1" s="40">
      <c r="A14" s="48" t="inlineStr">
        <is>
          <t>Purchase of Investment Securities</t>
        </is>
      </c>
      <c r="B14" s="54" t="n">
        <v>-500</v>
      </c>
      <c r="C14" s="54" t="n">
        <v>-600</v>
      </c>
      <c r="D14" s="54" t="n">
        <v>-500</v>
      </c>
      <c r="E14" s="63" t="n"/>
      <c r="F14" s="63" t="n"/>
      <c r="G14" s="63" t="n"/>
      <c r="H14" s="63" t="n"/>
      <c r="I14" s="63" t="n"/>
    </row>
    <row r="15" ht="15" customHeight="1" s="40">
      <c r="A15" s="48" t="inlineStr">
        <is>
          <t>Proceeds from Securities Maturity / Sale</t>
        </is>
      </c>
      <c r="B15" s="54" t="n">
        <v>300</v>
      </c>
      <c r="C15" s="54" t="n">
        <v>350</v>
      </c>
      <c r="D15" s="54" t="n">
        <v>400</v>
      </c>
      <c r="E15" s="63" t="n"/>
      <c r="F15" s="63" t="n"/>
      <c r="G15" s="63" t="n"/>
      <c r="H15" s="63" t="n"/>
      <c r="I15" s="63" t="n"/>
    </row>
    <row r="16" ht="15" customHeight="1" s="40">
      <c r="A16" s="48" t="inlineStr">
        <is>
          <t>Capital Expenditure (Capex)</t>
        </is>
      </c>
      <c r="B16" s="54" t="n">
        <v>-95</v>
      </c>
      <c r="C16" s="54" t="n">
        <v>-100</v>
      </c>
      <c r="D16" s="54" t="n">
        <v>-105</v>
      </c>
      <c r="E16" s="63" t="n"/>
      <c r="F16" s="63" t="n"/>
      <c r="G16" s="63" t="n"/>
      <c r="H16" s="63" t="n"/>
      <c r="I16" s="63" t="n"/>
    </row>
    <row r="17" ht="15" customHeight="1" s="40">
      <c r="A17" s="48" t="inlineStr">
        <is>
          <t>Acquisitions / Disposals (net)</t>
        </is>
      </c>
      <c r="B17" s="54" t="n">
        <v>0</v>
      </c>
      <c r="C17" s="54" t="n">
        <v>0</v>
      </c>
      <c r="D17" s="54" t="n">
        <v>0</v>
      </c>
      <c r="E17" s="63" t="n"/>
      <c r="F17" s="63" t="n"/>
      <c r="G17" s="63" t="n"/>
      <c r="H17" s="63" t="n"/>
      <c r="I17" s="63" t="n"/>
    </row>
    <row r="18" ht="15" customHeight="1" s="40">
      <c r="A18" s="64" t="inlineStr">
        <is>
          <t>Net Cash from Investing Activities</t>
        </is>
      </c>
      <c r="B18" s="65">
        <f>SUM(B14:B17)</f>
        <v/>
      </c>
      <c r="C18" s="65">
        <f>SUM(C14:C17)</f>
        <v/>
      </c>
      <c r="D18" s="65">
        <f>SUM(D14:D17)</f>
        <v/>
      </c>
      <c r="E18" s="65">
        <f>SUM(E14:E17)</f>
        <v/>
      </c>
      <c r="F18" s="65">
        <f>SUM(F14:F17)</f>
        <v/>
      </c>
      <c r="G18" s="65">
        <f>SUM(G14:G17)</f>
        <v/>
      </c>
      <c r="H18" s="65">
        <f>SUM(H14:H17)</f>
        <v/>
      </c>
      <c r="I18" s="65">
        <f>SUM(I14:I17)</f>
        <v/>
      </c>
    </row>
    <row r="19"/>
    <row r="20" ht="15" customHeight="1" s="40">
      <c r="A20" s="44" t="inlineStr">
        <is>
          <t>FINANCING ACTIVITIES</t>
        </is>
      </c>
      <c r="B20" s="45" t="n"/>
      <c r="C20" s="45" t="n"/>
      <c r="D20" s="45" t="n"/>
      <c r="E20" s="45" t="n"/>
      <c r="F20" s="45" t="n"/>
      <c r="G20" s="46" t="n"/>
      <c r="H20" s="47" t="n"/>
      <c r="I20" s="47" t="n"/>
    </row>
    <row r="21" ht="15" customHeight="1" s="40">
      <c r="A21" s="48" t="inlineStr">
        <is>
          <t>Dividends Paid</t>
        </is>
      </c>
      <c r="B21" s="54" t="n">
        <v>-180</v>
      </c>
      <c r="C21" s="54" t="n">
        <v>-196</v>
      </c>
      <c r="D21" s="54" t="n">
        <v>-225</v>
      </c>
      <c r="E21" s="63" t="n"/>
      <c r="F21" s="63" t="n"/>
      <c r="G21" s="63" t="n"/>
      <c r="H21" s="63" t="n"/>
      <c r="I21" s="63" t="n"/>
    </row>
    <row r="22" ht="15" customHeight="1" s="40">
      <c r="A22" s="48" t="inlineStr">
        <is>
          <t>Issuance of Debt Securities</t>
        </is>
      </c>
      <c r="B22" s="54" t="n">
        <v>300</v>
      </c>
      <c r="C22" s="54" t="n">
        <v>200</v>
      </c>
      <c r="D22" s="54" t="n">
        <v>150</v>
      </c>
      <c r="E22" s="63" t="n"/>
      <c r="F22" s="63" t="n"/>
      <c r="G22" s="63" t="n"/>
      <c r="H22" s="63" t="n"/>
      <c r="I22" s="63" t="n"/>
    </row>
    <row r="23" ht="15" customHeight="1" s="40">
      <c r="A23" s="48" t="inlineStr">
        <is>
          <t>Repayment of Borrowings</t>
        </is>
      </c>
      <c r="B23" s="54" t="n">
        <v>-150</v>
      </c>
      <c r="C23" s="54" t="n">
        <v>-200</v>
      </c>
      <c r="D23" s="54" t="n">
        <v>-200</v>
      </c>
      <c r="E23" s="63" t="n"/>
      <c r="F23" s="63" t="n"/>
      <c r="G23" s="63" t="n"/>
      <c r="H23" s="63" t="n"/>
      <c r="I23" s="63" t="n"/>
    </row>
    <row r="24" ht="15" customHeight="1" s="40">
      <c r="A24" s="48" t="inlineStr">
        <is>
          <t>Share Capital Issued / (Bought Back)</t>
        </is>
      </c>
      <c r="B24" s="54" t="n">
        <v>0</v>
      </c>
      <c r="C24" s="54" t="n">
        <v>0</v>
      </c>
      <c r="D24" s="54" t="n">
        <v>0</v>
      </c>
      <c r="E24" s="63" t="n"/>
      <c r="F24" s="63" t="n"/>
      <c r="G24" s="63" t="n"/>
      <c r="H24" s="63" t="n"/>
      <c r="I24" s="63" t="n"/>
    </row>
    <row r="25" ht="15" customHeight="1" s="40">
      <c r="A25" s="64" t="inlineStr">
        <is>
          <t>Net Cash from Financing Activities</t>
        </is>
      </c>
      <c r="B25" s="65">
        <f>SUM(B21:B24)</f>
        <v/>
      </c>
      <c r="C25" s="65">
        <f>SUM(C21:C24)</f>
        <v/>
      </c>
      <c r="D25" s="65">
        <f>SUM(D21:D24)</f>
        <v/>
      </c>
      <c r="E25" s="65">
        <f>SUM(E21:E24)</f>
        <v/>
      </c>
      <c r="F25" s="65">
        <f>SUM(F21:F24)</f>
        <v/>
      </c>
      <c r="G25" s="65">
        <f>SUM(G21:G24)</f>
        <v/>
      </c>
      <c r="H25" s="65">
        <f>SUM(H21:H24)</f>
        <v/>
      </c>
      <c r="I25" s="65">
        <f>SUM(I21:I24)</f>
        <v/>
      </c>
    </row>
    <row r="26"/>
    <row r="27" ht="15" customHeight="1" s="40">
      <c r="A27" s="66" t="inlineStr">
        <is>
          <t>NET CHANGE IN CASH</t>
        </is>
      </c>
      <c r="B27" s="67">
        <f>B11+B18+B25</f>
        <v/>
      </c>
      <c r="C27" s="67">
        <f>C11+C18+C25</f>
        <v/>
      </c>
      <c r="D27" s="67">
        <f>D11+D18+D25</f>
        <v/>
      </c>
      <c r="E27" s="67">
        <f>E11+E18+E25</f>
        <v/>
      </c>
      <c r="F27" s="67">
        <f>F11+F18+F25</f>
        <v/>
      </c>
      <c r="G27" s="67">
        <f>G11+G18+G25</f>
        <v/>
      </c>
      <c r="H27" s="67">
        <f>H11+H18+H25</f>
        <v/>
      </c>
      <c r="I27" s="67">
        <f>I11+I18+I25</f>
        <v/>
      </c>
    </row>
    <row r="28" ht="15" customHeight="1" s="40">
      <c r="A28" s="66" t="inlineStr">
        <is>
          <t>Closing Cash Balance</t>
        </is>
      </c>
      <c r="B28" s="67">
        <f>B3+B27</f>
        <v/>
      </c>
      <c r="C28" s="67">
        <f>C3+C27</f>
        <v/>
      </c>
      <c r="D28" s="67">
        <f>D3+D27</f>
        <v/>
      </c>
      <c r="E28" s="67">
        <f>E3+E27</f>
        <v/>
      </c>
      <c r="F28" s="67">
        <f>F3+F27</f>
        <v/>
      </c>
      <c r="G28" s="67">
        <f>G3+G27</f>
        <v/>
      </c>
      <c r="H28" s="67">
        <f>H3+H27</f>
        <v/>
      </c>
      <c r="I28" s="67">
        <f>I3+I27</f>
        <v/>
      </c>
    </row>
  </sheetData>
  <mergeCells count="4">
    <mergeCell ref="A13:G13"/>
    <mergeCell ref="A20:G20"/>
    <mergeCell ref="A1:G1"/>
    <mergeCell ref="A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32" customWidth="1" style="39" min="1" max="1"/>
    <col width="14" customWidth="1" style="39" min="2" max="9"/>
  </cols>
  <sheetData>
    <row r="1" ht="30" customHeight="1" s="40">
      <c r="A1" s="41" t="inlineStr">
        <is>
          <t>BANK FINANCIAL MODEL – SUMMARY DASHBOARD</t>
        </is>
      </c>
    </row>
    <row r="2" ht="15" customHeight="1" s="40">
      <c r="A2" s="71" t="inlineStr">
        <is>
          <t>Metric</t>
        </is>
      </c>
      <c r="B2" s="43" t="inlineStr">
        <is>
          <t>FY2022A</t>
        </is>
      </c>
      <c r="C2" s="43" t="inlineStr">
        <is>
          <t>FY2023A</t>
        </is>
      </c>
      <c r="D2" s="43" t="inlineStr">
        <is>
          <t>FY2024A</t>
        </is>
      </c>
      <c r="E2" s="43" t="inlineStr">
        <is>
          <t>FY2025E</t>
        </is>
      </c>
      <c r="F2" s="43" t="inlineStr">
        <is>
          <t>FY2026E</t>
        </is>
      </c>
      <c r="G2" s="43" t="inlineStr">
        <is>
          <t>FY2027E</t>
        </is>
      </c>
      <c r="H2" s="43" t="inlineStr">
        <is>
          <t>FY2028E</t>
        </is>
      </c>
      <c r="I2" s="43" t="inlineStr">
        <is>
          <t>FY2029E</t>
        </is>
      </c>
    </row>
    <row r="3" ht="15" customHeight="1" s="40">
      <c r="A3" s="44" t="inlineStr">
        <is>
          <t>PROFITABILITY ($mm)</t>
        </is>
      </c>
      <c r="B3" s="45" t="n"/>
      <c r="C3" s="45" t="n"/>
      <c r="D3" s="45" t="n"/>
      <c r="E3" s="45" t="n"/>
      <c r="F3" s="45" t="n"/>
      <c r="G3" s="46" t="n"/>
      <c r="H3" s="47" t="n"/>
      <c r="I3" s="47" t="n"/>
    </row>
    <row r="4" ht="15" customHeight="1" s="40">
      <c r="A4" s="48" t="inlineStr">
        <is>
          <t>Net Interest Income (NII)</t>
        </is>
      </c>
      <c r="B4" s="63" t="n"/>
      <c r="C4" s="63" t="n"/>
      <c r="D4" s="63" t="n"/>
      <c r="E4" s="63" t="n"/>
      <c r="F4" s="63" t="n"/>
      <c r="G4" s="63" t="n"/>
      <c r="H4" s="63" t="n"/>
      <c r="I4" s="63" t="n"/>
    </row>
    <row r="5" ht="15" customHeight="1" s="40">
      <c r="A5" s="48" t="inlineStr">
        <is>
          <t>Total Operating Income</t>
        </is>
      </c>
      <c r="B5" s="63" t="n"/>
      <c r="C5" s="63" t="n"/>
      <c r="D5" s="63" t="n"/>
      <c r="E5" s="63" t="n"/>
      <c r="F5" s="63" t="n"/>
      <c r="G5" s="63" t="n"/>
      <c r="H5" s="63" t="n"/>
      <c r="I5" s="63" t="n"/>
    </row>
    <row r="6" ht="15" customHeight="1" s="40">
      <c r="A6" s="48" t="inlineStr">
        <is>
          <t>Pre-Provision Profit (PPOP)</t>
        </is>
      </c>
      <c r="B6" s="63" t="n"/>
      <c r="C6" s="63" t="n"/>
      <c r="D6" s="63" t="n"/>
      <c r="E6" s="63" t="n"/>
      <c r="F6" s="63" t="n"/>
      <c r="G6" s="63" t="n"/>
      <c r="H6" s="63" t="n"/>
      <c r="I6" s="63" t="n"/>
    </row>
    <row r="7" ht="15" customHeight="1" s="40">
      <c r="A7" s="48" t="inlineStr">
        <is>
          <t>Net Income</t>
        </is>
      </c>
      <c r="B7" s="63" t="n"/>
      <c r="C7" s="63" t="n"/>
      <c r="D7" s="63" t="n"/>
      <c r="E7" s="63" t="n"/>
      <c r="F7" s="63" t="n"/>
      <c r="G7" s="63" t="n"/>
      <c r="H7" s="63" t="n"/>
      <c r="I7" s="63" t="n"/>
    </row>
    <row r="9" ht="15" customHeight="1" s="40">
      <c r="A9" s="44" t="inlineStr">
        <is>
          <t>BALANCE SHEET ($mm)</t>
        </is>
      </c>
      <c r="B9" s="45" t="n"/>
      <c r="C9" s="45" t="n"/>
      <c r="D9" s="45" t="n"/>
      <c r="E9" s="45" t="n"/>
      <c r="F9" s="45" t="n"/>
      <c r="G9" s="46" t="n"/>
      <c r="H9" s="47" t="n"/>
      <c r="I9" s="47" t="n"/>
    </row>
    <row r="10" ht="15" customHeight="1" s="40">
      <c r="A10" s="48" t="inlineStr">
        <is>
          <t>Total Assets</t>
        </is>
      </c>
      <c r="B10" s="63" t="n"/>
      <c r="C10" s="63" t="n"/>
      <c r="D10" s="63" t="n"/>
      <c r="E10" s="63" t="n"/>
      <c r="F10" s="63" t="n"/>
      <c r="G10" s="63" t="n"/>
      <c r="H10" s="63" t="n"/>
      <c r="I10" s="63" t="n"/>
    </row>
    <row r="11" ht="15" customHeight="1" s="40">
      <c r="A11" s="48" t="inlineStr">
        <is>
          <t>Gross Loans &amp; Advances</t>
        </is>
      </c>
      <c r="B11" s="63" t="n"/>
      <c r="C11" s="63" t="n"/>
      <c r="D11" s="63" t="n"/>
      <c r="E11" s="63" t="n"/>
      <c r="F11" s="63" t="n"/>
      <c r="G11" s="63" t="n"/>
      <c r="H11" s="63" t="n"/>
      <c r="I11" s="63" t="n"/>
    </row>
    <row r="12" ht="15" customHeight="1" s="40">
      <c r="A12" s="48" t="inlineStr">
        <is>
          <t>Total Customer Deposits</t>
        </is>
      </c>
      <c r="B12" s="63" t="n"/>
      <c r="C12" s="63" t="n"/>
      <c r="D12" s="63" t="n"/>
      <c r="E12" s="63" t="n"/>
      <c r="F12" s="63" t="n"/>
      <c r="G12" s="63" t="n"/>
      <c r="H12" s="63" t="n"/>
      <c r="I12" s="63" t="n"/>
    </row>
    <row r="13" ht="15" customHeight="1" s="40">
      <c r="A13" s="48" t="inlineStr">
        <is>
          <t>Total Equity</t>
        </is>
      </c>
      <c r="B13" s="63" t="n"/>
      <c r="C13" s="63" t="n"/>
      <c r="D13" s="63" t="n"/>
      <c r="E13" s="63" t="n"/>
      <c r="F13" s="63" t="n"/>
      <c r="G13" s="63" t="n"/>
      <c r="H13" s="63" t="n"/>
      <c r="I13" s="63" t="n"/>
    </row>
    <row r="15" ht="15" customHeight="1" s="40">
      <c r="A15" s="44" t="inlineStr">
        <is>
          <t>KEY RATIOS</t>
        </is>
      </c>
      <c r="B15" s="45" t="n"/>
      <c r="C15" s="45" t="n"/>
      <c r="D15" s="45" t="n"/>
      <c r="E15" s="45" t="n"/>
      <c r="F15" s="45" t="n"/>
      <c r="G15" s="46" t="n"/>
      <c r="H15" s="47" t="n"/>
      <c r="I15" s="47" t="n"/>
    </row>
    <row r="16" ht="15" customHeight="1" s="40">
      <c r="A16" s="48" t="inlineStr">
        <is>
          <t>Return on Equity (ROE %)</t>
        </is>
      </c>
      <c r="B16" s="69" t="n"/>
      <c r="C16" s="69" t="n"/>
      <c r="D16" s="69" t="n"/>
      <c r="E16" s="69" t="n"/>
      <c r="F16" s="69" t="n"/>
      <c r="G16" s="69" t="n"/>
      <c r="H16" s="69" t="n"/>
      <c r="I16" s="69" t="n"/>
    </row>
    <row r="17" ht="15" customHeight="1" s="40">
      <c r="A17" s="48" t="inlineStr">
        <is>
          <t>Return on Assets (ROA %)</t>
        </is>
      </c>
      <c r="B17" s="68" t="n"/>
      <c r="C17" s="68" t="n"/>
      <c r="D17" s="68" t="n"/>
      <c r="E17" s="68" t="n"/>
      <c r="F17" s="68" t="n"/>
      <c r="G17" s="68" t="n"/>
      <c r="H17" s="68" t="n"/>
      <c r="I17" s="68" t="n"/>
    </row>
    <row r="18" ht="15" customHeight="1" s="40">
      <c r="A18" s="48" t="inlineStr">
        <is>
          <t>Net Interest Margin (NIM %)</t>
        </is>
      </c>
      <c r="B18" s="68" t="n"/>
      <c r="C18" s="68" t="n"/>
      <c r="D18" s="68" t="n"/>
      <c r="E18" s="68" t="n"/>
      <c r="F18" s="68" t="n"/>
      <c r="G18" s="68" t="n"/>
      <c r="H18" s="68" t="n"/>
      <c r="I18" s="68" t="n"/>
    </row>
    <row r="19" ht="15" customHeight="1" s="40">
      <c r="A19" s="48" t="inlineStr">
        <is>
          <t>Cost-to-Income Ratio (%)</t>
        </is>
      </c>
      <c r="B19" s="69" t="n"/>
      <c r="C19" s="69" t="n"/>
      <c r="D19" s="69" t="n"/>
      <c r="E19" s="69" t="n"/>
      <c r="F19" s="69" t="n"/>
      <c r="G19" s="69" t="n"/>
      <c r="H19" s="69" t="n"/>
      <c r="I19" s="69" t="n"/>
    </row>
    <row r="20" ht="15" customHeight="1" s="40">
      <c r="A20" s="48" t="inlineStr">
        <is>
          <t>NPL Ratio (%)</t>
        </is>
      </c>
      <c r="B20" s="68" t="n"/>
      <c r="C20" s="68" t="n"/>
      <c r="D20" s="68" t="n"/>
      <c r="E20" s="68" t="n"/>
      <c r="F20" s="68" t="n"/>
      <c r="G20" s="68" t="n"/>
      <c r="H20" s="68" t="n"/>
      <c r="I20" s="68" t="n"/>
    </row>
    <row r="21" ht="15" customHeight="1" s="40">
      <c r="A21" s="48" t="inlineStr">
        <is>
          <t>LDR (%)</t>
        </is>
      </c>
      <c r="B21" s="69" t="n"/>
      <c r="C21" s="69" t="n"/>
      <c r="D21" s="69" t="n"/>
      <c r="E21" s="69" t="n"/>
      <c r="F21" s="69" t="n"/>
      <c r="G21" s="69" t="n"/>
      <c r="H21" s="69" t="n"/>
      <c r="I21" s="69" t="n"/>
    </row>
    <row r="22" ht="15" customHeight="1" s="40">
      <c r="A22" s="48" t="inlineStr">
        <is>
          <t>CET1 Ratio (%)</t>
        </is>
      </c>
      <c r="B22" s="69" t="n"/>
      <c r="C22" s="69" t="n"/>
      <c r="D22" s="69" t="n"/>
      <c r="E22" s="69" t="n"/>
      <c r="F22" s="69" t="n"/>
      <c r="G22" s="69" t="n"/>
      <c r="H22" s="69" t="n"/>
      <c r="I22" s="69" t="n"/>
    </row>
    <row r="23" ht="15" customHeight="1" s="40">
      <c r="A23" s="48" t="inlineStr">
        <is>
          <t>EPS ($)</t>
        </is>
      </c>
      <c r="B23" s="78" t="n"/>
      <c r="C23" s="78" t="n"/>
      <c r="D23" s="78" t="n"/>
      <c r="E23" s="78" t="n"/>
      <c r="F23" s="78" t="n"/>
      <c r="G23" s="78" t="n"/>
      <c r="H23" s="78" t="n"/>
      <c r="I23" s="78" t="n"/>
    </row>
    <row r="24" ht="15" customHeight="1" s="40">
      <c r="A24" s="48" t="inlineStr">
        <is>
          <t>DPS ($)</t>
        </is>
      </c>
      <c r="B24" s="78" t="n"/>
      <c r="C24" s="78" t="n"/>
      <c r="D24" s="78" t="n"/>
      <c r="E24" s="78" t="n"/>
      <c r="F24" s="78" t="n"/>
      <c r="G24" s="78" t="n"/>
      <c r="H24" s="78" t="n"/>
      <c r="I24" s="78" t="n"/>
    </row>
    <row r="27" ht="15" customHeight="1" s="40">
      <c r="A27" s="79" t="inlineStr">
        <is>
          <t>ℹ  Link cells above to the Income Statement and Balance Sheet sheets using cross-sheet formulas (e.g. ='Income Statement'!B25)</t>
        </is>
      </c>
    </row>
  </sheetData>
  <mergeCells count="5">
    <mergeCell ref="A1:G1"/>
    <mergeCell ref="A9:G9"/>
    <mergeCell ref="A27:G27"/>
    <mergeCell ref="A3:G3"/>
    <mergeCell ref="A15:G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2026-03-23T08:50:59Z</dcterms:created>
  <dcterms:modified xsi:type="dcterms:W3CDTF">2026-03-28T10:29:47Z</dcterms:modified>
  <cp:revision>0</cp:revision>
</cp:coreProperties>
</file>