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ssumptions" sheetId="1" state="visible" r:id="rId1"/>
    <sheet name="Income Statement" sheetId="2" state="visible" r:id="rId2"/>
    <sheet name="Balance Sheet" sheetId="3" state="visible" r:id="rId3"/>
    <sheet name="Cash Flow Statement" sheetId="4" state="visible" r:id="rId4"/>
    <sheet name="OWC Schedule" sheetId="5" state="visible" r:id="rId5"/>
    <sheet name="Depreciation Schedule" sheetId="6" state="visible" r:id="rId6"/>
    <sheet name="Debt Schedule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%;\(0.0%\);\-"/>
    <numFmt numFmtId="165" formatCode="#,##0;\(#,##0\);&quot;-&quot;"/>
    <numFmt numFmtId="166" formatCode="0.00%;\(0.00%\);&quot;-&quot;"/>
    <numFmt numFmtId="167" formatCode="0.0%;\(0.0%\);&quot;-&quot;"/>
    <numFmt numFmtId="168" formatCode="0.00%;\(0.00%\);\-"/>
  </numFmts>
  <fonts count="16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b val="1"/>
      <color rgb="FFFFFFFF"/>
      <sz val="9"/>
    </font>
    <font>
      <name val="Arial"/>
      <color rgb="FF000000"/>
      <sz val="10"/>
    </font>
    <font>
      <name val="Arial"/>
      <color rgb="FF0000FF"/>
      <sz val="10"/>
    </font>
    <font>
      <name val="Arial"/>
      <color rgb="FF0000FF"/>
      <sz val="9"/>
    </font>
    <font>
      <name val="Arial"/>
      <color rgb="FF000000"/>
      <sz val="9"/>
    </font>
    <font>
      <name val="Arial"/>
      <color rgb="FF008000"/>
      <sz val="9"/>
    </font>
    <font>
      <name val="Arial"/>
      <b val="1"/>
      <color rgb="FF000000"/>
      <sz val="10"/>
    </font>
    <font>
      <name val="Arial"/>
      <b val="1"/>
      <color rgb="FF1F3864"/>
      <sz val="10"/>
    </font>
    <font>
      <name val="Arial"/>
      <color rgb="FF008000"/>
      <sz val="10"/>
    </font>
    <font>
      <name val="Arial"/>
      <b val="1"/>
      <color rgb="FF008000"/>
      <sz val="10"/>
    </font>
    <font>
      <name val="Arial"/>
      <i val="1"/>
      <color rgb="FF595959"/>
      <sz val="8"/>
    </font>
    <font>
      <name val="Arial"/>
      <color rgb="FF1F3864"/>
      <sz val="10"/>
    </font>
    <font>
      <name val="Arial"/>
      <color rgb="FFC00000"/>
      <sz val="10"/>
    </font>
    <font>
      <name val="Arial"/>
      <b val="1"/>
      <color rgb="FFC00000"/>
      <sz val="11"/>
    </font>
  </fonts>
  <fills count="12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EE8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DEEAF1"/>
      </patternFill>
    </fill>
    <fill>
      <patternFill patternType="solid">
        <fgColor rgb="FFA32D2D"/>
      </patternFill>
    </fill>
    <fill>
      <patternFill patternType="solid">
        <fgColor rgb="FFE1F5EE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 style="thin">
        <color rgb="FF2E75B6"/>
      </right>
      <top style="thin">
        <color rgb="FF2E75B6"/>
      </top>
      <bottom style="thin">
        <color rgb="FF2E75B6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/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A32D2D"/>
      </left>
      <right style="thin">
        <color rgb="FFA32D2D"/>
      </right>
      <top style="thin">
        <color rgb="FFA32D2D"/>
      </top>
      <bottom style="thin">
        <color rgb="FFA32D2D"/>
      </bottom>
      <diagonal/>
    </border>
    <border>
      <left/>
      <right/>
      <top style="thin">
        <color rgb="FFA32D2D"/>
      </top>
      <bottom style="thin">
        <color rgb="FFA32D2D"/>
      </bottom>
      <diagonal/>
    </border>
    <border>
      <left/>
      <right style="thin">
        <color rgb="FFA32D2D"/>
      </right>
      <top style="thin">
        <color rgb="FFA32D2D"/>
      </top>
      <bottom style="thin">
        <color rgb="FFA32D2D"/>
      </bottom>
      <diagonal/>
    </border>
    <border>
      <left/>
      <right/>
      <top style="thin">
        <color rgb="FF1F3864"/>
      </top>
      <bottom/>
      <diagonal/>
    </border>
    <border>
      <left/>
      <right style="thin">
        <color rgb="FF1F3864"/>
      </right>
      <top style="thin">
        <color rgb="FF1F3864"/>
      </top>
      <bottom/>
      <diagonal/>
    </border>
    <border>
      <left/>
      <right/>
      <top style="thin">
        <color rgb="FF2E75B6"/>
      </top>
      <bottom/>
      <diagonal/>
    </border>
    <border>
      <left/>
      <right style="thin">
        <color rgb="FF2E75B6"/>
      </right>
      <top style="thin">
        <color rgb="FF2E75B6"/>
      </top>
      <bottom/>
      <diagonal/>
    </border>
    <border>
      <left/>
      <right/>
      <top style="thin">
        <color rgb="FFA32D2D"/>
      </top>
      <bottom/>
      <diagonal/>
    </border>
    <border>
      <left/>
      <right style="thin">
        <color rgb="FFA32D2D"/>
      </right>
      <top style="thin">
        <color rgb="FFA32D2D"/>
      </top>
      <bottom/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0" fillId="5" borderId="0" pivotButton="0" quotePrefix="0" xfId="0"/>
    <xf numFmtId="0" fontId="9" fillId="6" borderId="2" pivotButton="0" quotePrefix="0" xfId="0"/>
    <xf numFmtId="0" fontId="0" fillId="7" borderId="2" pivotButton="0" quotePrefix="0" xfId="0"/>
    <xf numFmtId="0" fontId="0" fillId="7" borderId="1" pivotButton="0" quotePrefix="0" xfId="0"/>
    <xf numFmtId="0" fontId="0" fillId="6" borderId="2" pivotButton="0" quotePrefix="0" xfId="0"/>
    <xf numFmtId="164" fontId="4" fillId="4" borderId="1" applyAlignment="1" pivotButton="0" quotePrefix="0" xfId="0">
      <alignment horizontal="right" vertical="center"/>
    </xf>
    <xf numFmtId="165" fontId="9" fillId="6" borderId="2" applyAlignment="1" pivotButton="0" quotePrefix="0" xfId="0">
      <alignment horizontal="right" vertical="center"/>
    </xf>
    <xf numFmtId="0" fontId="8" fillId="7" borderId="2" applyAlignment="1" pivotButton="0" quotePrefix="0" xfId="0">
      <alignment horizontal="left" vertical="center" indent="1"/>
    </xf>
    <xf numFmtId="165" fontId="8" fillId="7" borderId="2" applyAlignment="1" pivotButton="0" quotePrefix="0" xfId="0">
      <alignment horizontal="right" vertical="center"/>
    </xf>
    <xf numFmtId="0" fontId="8" fillId="9" borderId="2" applyAlignment="1" pivotButton="0" quotePrefix="0" xfId="0">
      <alignment horizontal="left" vertical="center" indent="1"/>
    </xf>
    <xf numFmtId="0" fontId="0" fillId="9" borderId="2" pivotButton="0" quotePrefix="0" xfId="0"/>
    <xf numFmtId="0" fontId="8" fillId="6" borderId="2" applyAlignment="1" pivotButton="0" quotePrefix="0" xfId="0">
      <alignment horizontal="left" vertical="center" indent="1"/>
    </xf>
    <xf numFmtId="165" fontId="8" fillId="6" borderId="2" applyAlignment="1" pivotButton="0" quotePrefix="0" xfId="0">
      <alignment horizontal="right" vertical="center"/>
    </xf>
    <xf numFmtId="0" fontId="9" fillId="10" borderId="1" applyAlignment="1" pivotButton="0" quotePrefix="0" xfId="0">
      <alignment horizontal="left" vertical="center" indent="2"/>
    </xf>
    <xf numFmtId="0" fontId="3" fillId="10" borderId="1" applyAlignment="1" pivotButton="0" quotePrefix="0" xfId="0">
      <alignment horizontal="left" vertical="center"/>
    </xf>
    <xf numFmtId="166" fontId="4" fillId="4" borderId="1" applyAlignment="1" pivotButton="0" quotePrefix="0" xfId="0">
      <alignment horizontal="right" vertical="center"/>
    </xf>
    <xf numFmtId="0" fontId="13" fillId="10" borderId="1" applyAlignment="1" pivotButton="0" quotePrefix="0" xfId="0">
      <alignment horizontal="left" vertical="center" indent="2"/>
    </xf>
    <xf numFmtId="165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 indent="2"/>
    </xf>
    <xf numFmtId="0" fontId="3" fillId="5" borderId="1" applyAlignment="1" pivotButton="0" quotePrefix="0" xfId="0">
      <alignment horizontal="left" vertical="center"/>
    </xf>
    <xf numFmtId="0" fontId="13" fillId="11" borderId="1" applyAlignment="1" pivotButton="0" quotePrefix="0" xfId="0">
      <alignment horizontal="left" vertical="center" indent="2"/>
    </xf>
    <xf numFmtId="0" fontId="3" fillId="11" borderId="1" applyAlignment="1" pivotButton="0" quotePrefix="0" xfId="0">
      <alignment horizontal="left" vertical="center"/>
    </xf>
    <xf numFmtId="0" fontId="9" fillId="11" borderId="1" applyAlignment="1" pivotButton="0" quotePrefix="0" xfId="0">
      <alignment horizontal="left" vertical="center" indent="2"/>
    </xf>
    <xf numFmtId="167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indent="2"/>
    </xf>
    <xf numFmtId="0" fontId="6" fillId="5" borderId="1" applyAlignment="1" pivotButton="0" quotePrefix="0" xfId="0">
      <alignment horizontal="left" vertical="center" indent="2"/>
    </xf>
    <xf numFmtId="0" fontId="7" fillId="5" borderId="1" applyAlignment="1" pivotButton="0" quotePrefix="0" xfId="0">
      <alignment horizontal="left" vertical="center" indent="2"/>
    </xf>
    <xf numFmtId="0" fontId="14" fillId="10" borderId="1" applyAlignment="1" pivotButton="0" quotePrefix="0" xfId="0">
      <alignment horizontal="left" vertical="center" indent="3"/>
    </xf>
    <xf numFmtId="165" fontId="3" fillId="10" borderId="1" applyAlignment="1" pivotButton="0" quotePrefix="0" xfId="0">
      <alignment horizontal="right" vertical="center"/>
    </xf>
    <xf numFmtId="0" fontId="13" fillId="10" borderId="1" applyAlignment="1" pivotButton="0" quotePrefix="0" xfId="0">
      <alignment horizontal="left" vertical="center" indent="3"/>
    </xf>
    <xf numFmtId="0" fontId="0" fillId="10" borderId="1" pivotButton="0" quotePrefix="0" xfId="0"/>
    <xf numFmtId="166" fontId="3" fillId="10" borderId="1" applyAlignment="1" pivotButton="0" quotePrefix="0" xfId="0">
      <alignment horizontal="right" vertical="center"/>
    </xf>
    <xf numFmtId="0" fontId="13" fillId="9" borderId="1" applyAlignment="1" pivotButton="0" quotePrefix="0" xfId="0">
      <alignment horizontal="left" vertical="center" indent="3"/>
    </xf>
    <xf numFmtId="165" fontId="3" fillId="9" borderId="1" applyAlignment="1" pivotButton="0" quotePrefix="0" xfId="0">
      <alignment horizontal="right" vertical="center"/>
    </xf>
    <xf numFmtId="0" fontId="13" fillId="11" borderId="1" applyAlignment="1" pivotButton="0" quotePrefix="0" xfId="0">
      <alignment horizontal="left" vertical="center" indent="3"/>
    </xf>
    <xf numFmtId="165" fontId="3" fillId="11" borderId="1" applyAlignment="1" pivotButton="0" quotePrefix="0" xfId="0">
      <alignment horizontal="right" vertical="center"/>
    </xf>
    <xf numFmtId="0" fontId="9" fillId="6" borderId="2" applyAlignment="1" pivotButton="0" quotePrefix="0" xfId="0">
      <alignment horizontal="left" vertical="center" indent="1"/>
    </xf>
    <xf numFmtId="0" fontId="1" fillId="2" borderId="2" applyAlignment="1" pivotButton="0" quotePrefix="0" xfId="0">
      <alignment horizontal="left" vertical="center" indent="1"/>
    </xf>
    <xf numFmtId="0" fontId="0" fillId="2" borderId="2" pivotButton="0" quotePrefix="0" xfId="0"/>
    <xf numFmtId="165" fontId="1" fillId="2" borderId="2" applyAlignment="1" pivotButton="0" quotePrefix="0" xfId="0">
      <alignment horizontal="right" vertical="center"/>
    </xf>
    <xf numFmtId="0" fontId="2" fillId="2" borderId="4" applyAlignment="1" pivotButton="0" quotePrefix="0" xfId="0">
      <alignment horizontal="left" vertical="center" indent="1"/>
    </xf>
    <xf numFmtId="0" fontId="0" fillId="2" borderId="4" pivotButton="0" quotePrefix="0" xfId="0"/>
    <xf numFmtId="0" fontId="2" fillId="3" borderId="5" applyAlignment="1" pivotButton="0" quotePrefix="0" xfId="0">
      <alignment horizontal="left" vertical="center" indent="1"/>
    </xf>
    <xf numFmtId="0" fontId="0" fillId="3" borderId="5" pivotButton="0" quotePrefix="0" xfId="0"/>
    <xf numFmtId="0" fontId="3" fillId="5" borderId="1" applyAlignment="1" pivotButton="0" quotePrefix="0" xfId="0">
      <alignment horizontal="left" vertical="center" indent="2"/>
    </xf>
    <xf numFmtId="0" fontId="0" fillId="5" borderId="1" pivotButton="0" quotePrefix="0" xfId="0"/>
    <xf numFmtId="0" fontId="12" fillId="5" borderId="1" applyAlignment="1" pivotButton="0" quotePrefix="0" xfId="0">
      <alignment horizontal="left" vertical="center" indent="3"/>
    </xf>
    <xf numFmtId="0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 indent="1"/>
    </xf>
    <xf numFmtId="0" fontId="9" fillId="6" borderId="2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left" vertical="center" indent="2"/>
    </xf>
    <xf numFmtId="0" fontId="3" fillId="10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 indent="2"/>
    </xf>
    <xf numFmtId="0" fontId="10" fillId="5" borderId="1" applyAlignment="1" pivotButton="0" quotePrefix="0" xfId="0">
      <alignment horizontal="left" vertical="center" indent="3"/>
    </xf>
    <xf numFmtId="0" fontId="3" fillId="9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3"/>
    </xf>
    <xf numFmtId="0" fontId="3" fillId="11" borderId="1" applyAlignment="1" pivotButton="0" quotePrefix="0" xfId="0">
      <alignment horizontal="right" vertical="center"/>
    </xf>
    <xf numFmtId="168" fontId="3" fillId="5" borderId="1" applyAlignment="1" pivotButton="0" quotePrefix="0" xfId="0">
      <alignment horizontal="right" vertical="center"/>
    </xf>
    <xf numFmtId="0" fontId="9" fillId="2" borderId="2" pivotButton="0" quotePrefix="0" xfId="0"/>
    <xf numFmtId="0" fontId="1" fillId="2" borderId="4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0" fillId="8" borderId="10" pivotButton="0" quotePrefix="0" xfId="0"/>
    <xf numFmtId="0" fontId="15" fillId="0" borderId="0" pivotButton="0" quotePrefix="0" xfId="0"/>
    <xf numFmtId="165" fontId="4" fillId="0" borderId="1" applyAlignment="1" pivotButton="0" quotePrefix="0" xfId="0">
      <alignment horizontal="right" vertical="center"/>
    </xf>
    <xf numFmtId="165" fontId="9" fillId="6" borderId="3" applyAlignment="1" pivotButton="0" quotePrefix="0" xfId="0">
      <alignment horizontal="right" vertical="center"/>
    </xf>
    <xf numFmtId="165" fontId="8" fillId="7" borderId="3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165" fontId="8" fillId="7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9" fontId="0" fillId="0" borderId="0" pivotButton="0" quotePrefix="0" xfId="0"/>
    <xf numFmtId="0" fontId="2" fillId="2" borderId="4" applyAlignment="1" pivotButton="0" quotePrefix="0" xfId="0">
      <alignment horizontal="left" vertical="center" indent="1"/>
    </xf>
    <xf numFmtId="0" fontId="0" fillId="0" borderId="8" pivotButton="0" quotePrefix="0" xfId="0"/>
    <xf numFmtId="0" fontId="0" fillId="0" borderId="9" pivotButton="0" quotePrefix="0" xfId="0"/>
    <xf numFmtId="0" fontId="2" fillId="3" borderId="5" applyAlignment="1" pivotButton="0" quotePrefix="0" xfId="0">
      <alignment horizontal="left" vertical="center" indent="1"/>
    </xf>
    <xf numFmtId="0" fontId="0" fillId="0" borderId="6" pivotButton="0" quotePrefix="0" xfId="0"/>
    <xf numFmtId="0" fontId="0" fillId="0" borderId="7" pivotButton="0" quotePrefix="0" xfId="0"/>
    <xf numFmtId="0" fontId="2" fillId="8" borderId="10" applyAlignment="1" pivotButton="0" quotePrefix="0" xfId="0">
      <alignment horizontal="left" vertical="center" indent="1"/>
    </xf>
    <xf numFmtId="0" fontId="0" fillId="0" borderId="11" pivotButton="0" quotePrefix="0" xfId="0"/>
    <xf numFmtId="0" fontId="0" fillId="0" borderId="12" pivotButton="0" quotePrefix="0" xfId="0"/>
    <xf numFmtId="0" fontId="8" fillId="7" borderId="2" applyAlignment="1" pivotButton="0" quotePrefix="0" xfId="0">
      <alignment horizontal="left" vertical="center" indent="1"/>
    </xf>
    <xf numFmtId="0" fontId="0" fillId="0" borderId="3" pivotButton="0" quotePrefix="0" xfId="0"/>
    <xf numFmtId="166" fontId="3" fillId="10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167" fontId="4" fillId="4" borderId="1" applyAlignment="1" pivotButton="0" quotePrefix="0" xfId="0">
      <alignment horizontal="right" vertical="center"/>
    </xf>
    <xf numFmtId="168" fontId="3" fillId="5" borderId="1" applyAlignment="1" pivotButton="0" quotePrefix="0" xfId="0">
      <alignment horizontal="right" vertical="center"/>
    </xf>
    <xf numFmtId="0" fontId="8" fillId="7" borderId="3" applyAlignment="1" pivotButton="0" quotePrefix="0" xfId="0">
      <alignment horizontal="left" vertical="center" inden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ED7D31"/>
    <outlinePr summaryBelow="1" summaryRight="1"/>
    <pageSetUpPr/>
  </sheetPr>
  <dimension ref="A1:I64"/>
  <sheetViews>
    <sheetView showGridLines="0" tabSelected="1" topLeftCell="A11" workbookViewId="0">
      <selection activeCell="D35" sqref="D35"/>
    </sheetView>
  </sheetViews>
  <sheetFormatPr baseColWidth="8" defaultRowHeight="14.4"/>
  <cols>
    <col width="44" customWidth="1" min="1" max="1"/>
    <col width="2" customWidth="1" min="2" max="2"/>
    <col width="13" customWidth="1" min="3" max="7"/>
    <col width="4" customWidth="1" min="8" max="8"/>
  </cols>
  <sheetData>
    <row r="1" ht="16.05" customHeight="1">
      <c r="A1" s="75" t="inlineStr">
        <is>
          <t>KEY ASSUMPTIONS</t>
        </is>
      </c>
      <c r="B1" s="76" t="n"/>
      <c r="C1" s="76" t="n"/>
      <c r="D1" s="76" t="n"/>
      <c r="E1" s="76" t="n"/>
      <c r="F1" s="76" t="n"/>
      <c r="G1" s="77" t="n"/>
      <c r="H1" s="42" t="n"/>
      <c r="I1" s="42" t="n"/>
    </row>
    <row r="2" ht="18" customHeight="1">
      <c r="A2" s="42" t="n"/>
      <c r="B2" s="64" t="n"/>
      <c r="C2" s="64" t="inlineStr">
        <is>
          <t>2025P</t>
        </is>
      </c>
      <c r="D2" s="64" t="inlineStr">
        <is>
          <t>2026P</t>
        </is>
      </c>
      <c r="E2" s="64" t="inlineStr">
        <is>
          <t>2027P</t>
        </is>
      </c>
      <c r="F2" s="64" t="inlineStr">
        <is>
          <t>2028P</t>
        </is>
      </c>
      <c r="G2" s="64" t="inlineStr">
        <is>
          <t>2029P</t>
        </is>
      </c>
      <c r="H2" s="1" t="n"/>
    </row>
    <row r="3" ht="16.05" customHeight="1">
      <c r="A3" s="78" t="inlineStr">
        <is>
          <t>INCOME STATEMENT DRIVERS</t>
        </is>
      </c>
      <c r="B3" s="79" t="n"/>
      <c r="C3" s="79" t="n"/>
      <c r="D3" s="79" t="n"/>
      <c r="E3" s="79" t="n"/>
      <c r="F3" s="79" t="n"/>
      <c r="G3" s="80" t="n"/>
      <c r="H3" s="44" t="n"/>
      <c r="I3" s="44" t="n"/>
    </row>
    <row r="4">
      <c r="A4" s="45" t="inlineStr">
        <is>
          <t>Net sales growth %</t>
        </is>
      </c>
      <c r="B4" s="46" t="n"/>
      <c r="C4" s="6" t="n">
        <v>0.11</v>
      </c>
      <c r="D4" s="6" t="n">
        <v>0.11</v>
      </c>
      <c r="E4" s="6" t="n">
        <v>0.11</v>
      </c>
      <c r="F4" s="6" t="n">
        <v>0.11</v>
      </c>
      <c r="G4" s="1" t="n"/>
    </row>
    <row r="5">
      <c r="A5" s="45" t="inlineStr">
        <is>
          <t>Membership income growth %</t>
        </is>
      </c>
      <c r="B5" s="46" t="n"/>
      <c r="C5" s="6" t="n">
        <v>0.06</v>
      </c>
      <c r="D5" s="6" t="n">
        <v>0.06</v>
      </c>
      <c r="E5" s="6" t="n">
        <v>0.06</v>
      </c>
      <c r="F5" s="6" t="n">
        <v>0.06</v>
      </c>
      <c r="G5" s="1" t="n"/>
    </row>
    <row r="6">
      <c r="A6" s="45" t="inlineStr">
        <is>
          <t>COGS % of revenue</t>
        </is>
      </c>
      <c r="B6" s="46" t="n"/>
      <c r="C6" s="6" t="n">
        <v>0.36</v>
      </c>
      <c r="D6" s="6" t="n">
        <v>0.36</v>
      </c>
      <c r="E6" s="6" t="n">
        <v>0.36</v>
      </c>
      <c r="F6" s="6" t="n">
        <v>0.36</v>
      </c>
      <c r="G6" s="1" t="n"/>
    </row>
    <row r="7">
      <c r="A7" s="45" t="inlineStr">
        <is>
          <t>SG&amp;A % of revenue</t>
        </is>
      </c>
      <c r="B7" s="46" t="n"/>
      <c r="C7" s="6" t="n">
        <v>0.21</v>
      </c>
      <c r="D7" s="6" t="n">
        <v>0.21</v>
      </c>
      <c r="E7" s="6" t="n">
        <v>0.21</v>
      </c>
      <c r="F7" s="6" t="n">
        <v>0.21</v>
      </c>
      <c r="G7" s="1" t="n"/>
    </row>
    <row r="8">
      <c r="A8" s="45" t="inlineStr">
        <is>
          <t>Shares outstanding (mm)</t>
        </is>
      </c>
      <c r="B8" s="46" t="n"/>
      <c r="C8" s="6" t="n">
        <v>0.25</v>
      </c>
      <c r="D8" s="6" t="n">
        <v>0.25</v>
      </c>
      <c r="E8" s="6" t="n">
        <v>0.25</v>
      </c>
      <c r="F8" s="6" t="n">
        <v>0.25</v>
      </c>
      <c r="G8" s="1" t="n"/>
    </row>
    <row r="10" ht="16.05" customHeight="1">
      <c r="A10" s="75" t="inlineStr">
        <is>
          <t>TAX RATES</t>
        </is>
      </c>
      <c r="B10" s="76" t="n"/>
      <c r="C10" s="76" t="n"/>
      <c r="D10" s="76" t="n"/>
      <c r="E10" s="76" t="n"/>
      <c r="F10" s="76" t="n"/>
      <c r="G10" s="77" t="n"/>
      <c r="H10" s="42" t="n"/>
      <c r="I10" s="42" t="n"/>
    </row>
    <row r="11">
      <c r="A11" s="14" t="inlineStr">
        <is>
          <t>Statutory / Corporate Tax Rate %</t>
        </is>
      </c>
      <c r="B11" s="15" t="n"/>
      <c r="C11" s="86" t="n">
        <v>0.12</v>
      </c>
      <c r="D11" s="86" t="n">
        <v>0.12</v>
      </c>
      <c r="E11" s="86" t="n">
        <v>0.12</v>
      </c>
      <c r="F11" s="86" t="n">
        <v>0.12</v>
      </c>
      <c r="G11" s="86" t="n"/>
      <c r="H11" s="1" t="n"/>
    </row>
    <row r="12" ht="13.05" customHeight="1">
      <c r="A12" s="47" t="inlineStr">
        <is>
          <t xml:space="preserve">  Legal rate set by government (e.g. 21% US, 25% UK, 30% Nigeria). Applied first to EBT — baseline before any adjustments.</t>
        </is>
      </c>
      <c r="B12" s="46" t="n"/>
      <c r="C12" s="86" t="n"/>
      <c r="D12" s="86" t="n"/>
      <c r="E12" s="86" t="n"/>
      <c r="F12" s="86" t="n"/>
      <c r="G12" s="86" t="n"/>
      <c r="H12" s="46" t="n"/>
    </row>
    <row r="13">
      <c r="A13" s="14" t="inlineStr">
        <is>
          <t>Effective Tax Rate (ETR) %</t>
        </is>
      </c>
      <c r="B13" s="15" t="n"/>
      <c r="C13" s="86" t="n">
        <v>0.34</v>
      </c>
      <c r="D13" s="86" t="n">
        <v>0.34</v>
      </c>
      <c r="E13" s="86" t="n">
        <v>0.34</v>
      </c>
      <c r="F13" s="86" t="n">
        <v>0.34</v>
      </c>
      <c r="G13" s="86" t="n"/>
      <c r="H13" s="1" t="n"/>
    </row>
    <row r="14" ht="13.05" customHeight="1">
      <c r="A14" s="47" t="inlineStr">
        <is>
          <t xml:space="preserve">  Actual tax paid / EBT. Higher than statutory due to non-deductible expenses, state/local taxes, and permanent differences. Used to project total tax expense.</t>
        </is>
      </c>
      <c r="B14" s="46" t="n"/>
      <c r="C14" s="86" t="n"/>
      <c r="D14" s="86" t="n"/>
      <c r="E14" s="86" t="n"/>
      <c r="F14" s="86" t="n"/>
      <c r="G14" s="86" t="n"/>
      <c r="H14" s="46" t="n"/>
    </row>
    <row r="15">
      <c r="A15" s="17" t="inlineStr">
        <is>
          <t>Current Tax Rate % (cash paid this year)</t>
        </is>
      </c>
      <c r="B15" s="15" t="n"/>
      <c r="C15" s="86" t="n">
        <v>0.16</v>
      </c>
      <c r="D15" s="86" t="n">
        <v>0.16</v>
      </c>
      <c r="E15" s="86" t="n">
        <v>0.16</v>
      </c>
      <c r="F15" s="86" t="n">
        <v>0.16</v>
      </c>
      <c r="G15" s="86" t="n"/>
      <c r="H15" s="1" t="n"/>
    </row>
    <row r="16" ht="13.05" customHeight="1">
      <c r="A16" s="47" t="inlineStr">
        <is>
          <t xml:space="preserve">  Cash tax actually remitted this period. Differs from ETR due to timing differences (accelerated depreciation, deferred revenue, etc.).</t>
        </is>
      </c>
      <c r="B16" s="46" t="n"/>
      <c r="C16" s="86" t="n"/>
      <c r="D16" s="86" t="n"/>
      <c r="E16" s="86" t="n"/>
      <c r="F16" s="86" t="n"/>
      <c r="G16" s="86" t="n"/>
      <c r="H16" s="46" t="n"/>
    </row>
    <row r="17" ht="16.05" customHeight="1">
      <c r="A17" s="17" t="inlineStr">
        <is>
          <t>Deferred Tax ($mm) — non-cash timing difference</t>
        </is>
      </c>
      <c r="B17" s="15" t="n"/>
      <c r="C17" s="86" t="n">
        <v>0.23</v>
      </c>
      <c r="D17" s="86" t="n">
        <v>0.23</v>
      </c>
      <c r="E17" s="86" t="n">
        <v>0.23</v>
      </c>
      <c r="F17" s="86" t="n">
        <v>0.23</v>
      </c>
      <c r="G17" s="86" t="n"/>
      <c r="H17" s="1" t="n"/>
    </row>
    <row r="18" ht="13.05" customHeight="1">
      <c r="A18" s="47" t="inlineStr">
        <is>
          <t xml:space="preserve">  = (Tax Depreciation - Book Depreciation) x Statutory Rate. Non-cash — added back in operating cash flow.</t>
        </is>
      </c>
      <c r="B18" s="46" t="n"/>
      <c r="C18" s="86" t="n"/>
      <c r="D18" s="86" t="n"/>
      <c r="E18" s="86" t="n"/>
      <c r="F18" s="86" t="n"/>
      <c r="G18" s="86" t="n"/>
      <c r="H18" s="46" t="n"/>
    </row>
    <row r="19">
      <c r="A19" s="45" t="inlineStr">
        <is>
          <t>PP&amp;E useful life (yrs)</t>
        </is>
      </c>
      <c r="B19" s="46" t="n"/>
      <c r="C19" s="86" t="n"/>
      <c r="D19" s="86" t="n"/>
      <c r="E19" s="86" t="n"/>
      <c r="F19" s="86" t="n"/>
      <c r="G19" s="86" t="n"/>
      <c r="H19" s="1" t="n"/>
    </row>
    <row r="20" ht="16.05" customHeight="1">
      <c r="A20" s="78" t="inlineStr">
        <is>
          <t>CAPEX &amp; DEPRECIATION</t>
        </is>
      </c>
      <c r="B20" s="79" t="n"/>
      <c r="C20" s="79" t="n"/>
      <c r="D20" s="79" t="n"/>
      <c r="E20" s="79" t="n"/>
      <c r="F20" s="79" t="n"/>
      <c r="G20" s="80" t="n"/>
      <c r="H20" s="44" t="n"/>
      <c r="I20" s="44" t="n"/>
    </row>
    <row r="21">
      <c r="A21" s="19" t="inlineStr">
        <is>
          <t>CAPEX % of revenue</t>
        </is>
      </c>
      <c r="B21" s="20" t="n"/>
      <c r="C21" s="6" t="n">
        <v>0.05</v>
      </c>
      <c r="D21" s="6" t="n">
        <v>0.05</v>
      </c>
      <c r="E21" s="6" t="n">
        <v>0.05</v>
      </c>
      <c r="F21" s="6" t="n">
        <v>0.05</v>
      </c>
      <c r="G21" s="87" t="n"/>
      <c r="H21" s="1" t="n"/>
    </row>
    <row r="22" ht="16.05" customHeight="1">
      <c r="A22" s="19" t="inlineStr">
        <is>
          <t>PP&amp;E useful life — Straight-Line (yrs)</t>
        </is>
      </c>
      <c r="B22" s="20" t="n"/>
      <c r="C22" s="18" t="n">
        <v>12</v>
      </c>
      <c r="D22" s="18" t="n">
        <v>12</v>
      </c>
      <c r="E22" s="18" t="n">
        <v>12</v>
      </c>
      <c r="F22" s="18" t="n">
        <v>12</v>
      </c>
      <c r="G22" s="87" t="n"/>
      <c r="H22" s="1" t="n"/>
    </row>
    <row r="23">
      <c r="A23" s="19" t="inlineStr">
        <is>
          <t>CAPEX useful life — Straight-Line (yrs)</t>
        </is>
      </c>
      <c r="B23" s="20" t="n"/>
      <c r="C23" s="18" t="n">
        <v>12</v>
      </c>
      <c r="D23" s="18" t="n">
        <v>12</v>
      </c>
      <c r="E23" s="18" t="n">
        <v>12</v>
      </c>
      <c r="F23" s="18" t="n">
        <v>12</v>
      </c>
      <c r="G23" s="87" t="n"/>
      <c r="H23" s="1" t="n"/>
    </row>
    <row r="24">
      <c r="A24" s="21" t="inlineStr">
        <is>
          <t>Declining Balance Rate % (DB method)</t>
        </is>
      </c>
      <c r="B24" s="22" t="n"/>
      <c r="C24" s="87" t="n">
        <v>0.015</v>
      </c>
      <c r="D24" s="87" t="n">
        <v>0.015</v>
      </c>
      <c r="E24" s="87" t="n">
        <v>0.015</v>
      </c>
      <c r="F24" s="87" t="n">
        <v>0.015</v>
      </c>
      <c r="G24" s="87" t="n"/>
      <c r="H24" s="1" t="n"/>
    </row>
    <row r="25" ht="13.05" customHeight="1">
      <c r="A25" s="47" t="inlineStr">
        <is>
          <t xml:space="preserve">  Used only when Depreciation Method = DB. Rate applied to opening NBV each period (e.g. 30% DB = 2.5x straight-line over 12 yrs).</t>
        </is>
      </c>
      <c r="B25" s="46" t="n"/>
      <c r="C25" s="48" t="n"/>
      <c r="D25" s="48" t="n"/>
      <c r="E25" s="48" t="n"/>
      <c r="F25" s="48" t="n"/>
      <c r="G25" s="48" t="n"/>
      <c r="H25" s="46" t="n"/>
    </row>
    <row r="26">
      <c r="A26" s="23" t="inlineStr">
        <is>
          <t>Depreciation Method</t>
        </is>
      </c>
      <c r="B26" s="22" t="n"/>
      <c r="C26" s="36" t="inlineStr">
        <is>
          <t>SL</t>
        </is>
      </c>
      <c r="D26" s="36" t="inlineStr">
        <is>
          <t>SL</t>
        </is>
      </c>
      <c r="E26" s="36" t="inlineStr">
        <is>
          <t>SL</t>
        </is>
      </c>
      <c r="F26" s="36" t="inlineStr">
        <is>
          <t>SL</t>
        </is>
      </c>
      <c r="G26" s="36" t="inlineStr">
        <is>
          <t>SL</t>
        </is>
      </c>
      <c r="H26" s="1" t="n"/>
    </row>
    <row r="27" ht="13.05" customHeight="1">
      <c r="A27" s="47" t="inlineStr">
        <is>
          <t xml:space="preserve">  Enter 'SL' for Straight-Line or 'DB' for Declining Balance. SL = Cost / Useful Life.  DB = Opening NBV x DB Rate.</t>
        </is>
      </c>
      <c r="B27" s="46" t="n"/>
      <c r="C27" s="48" t="n"/>
      <c r="D27" s="48" t="n"/>
      <c r="E27" s="48" t="n"/>
      <c r="F27" s="48" t="n"/>
      <c r="G27" s="48" t="n"/>
      <c r="H27" s="46" t="n"/>
    </row>
    <row r="28">
      <c r="A28" s="45" t="inlineStr">
        <is>
          <t>Days payable — Accrued tax</t>
        </is>
      </c>
      <c r="B28" s="46" t="n"/>
      <c r="C28" s="18" t="n">
        <v>0.07000000000000001</v>
      </c>
      <c r="D28" s="18" t="n"/>
      <c r="E28" s="18" t="n"/>
      <c r="F28" s="18" t="n"/>
      <c r="G28" s="18" t="n"/>
      <c r="H28" s="1" t="n"/>
    </row>
    <row r="29" ht="16.05" customHeight="1">
      <c r="A29" s="78" t="inlineStr">
        <is>
          <t>WORKING CAPITAL (DAYS)</t>
        </is>
      </c>
      <c r="B29" s="79" t="n"/>
      <c r="C29" s="79" t="n"/>
      <c r="D29" s="79" t="n"/>
      <c r="E29" s="79" t="n"/>
      <c r="F29" s="79" t="n"/>
      <c r="G29" s="80" t="n"/>
      <c r="H29" s="44" t="n"/>
      <c r="I29" s="44" t="n"/>
    </row>
    <row r="30" ht="16.05" customHeight="1">
      <c r="A30" s="19" t="inlineStr">
        <is>
          <t>Days receivables (DSO)</t>
        </is>
      </c>
      <c r="B30" s="20" t="n"/>
      <c r="C30" s="18" t="n">
        <v>34</v>
      </c>
      <c r="D30" s="18" t="n">
        <v>34</v>
      </c>
      <c r="E30" s="18" t="n">
        <v>34</v>
      </c>
      <c r="F30" s="18" t="n">
        <v>34</v>
      </c>
      <c r="G30" s="18" t="n"/>
      <c r="H30" s="18" t="n"/>
    </row>
    <row r="31">
      <c r="A31" s="19" t="inlineStr">
        <is>
          <t>Inventory turnover days (DIO)</t>
        </is>
      </c>
      <c r="B31" s="20" t="n"/>
      <c r="C31" s="18" t="n">
        <v>48</v>
      </c>
      <c r="D31" s="18" t="n">
        <v>48</v>
      </c>
      <c r="E31" s="18" t="n">
        <v>48</v>
      </c>
      <c r="F31" s="18" t="n">
        <v>48</v>
      </c>
      <c r="G31" s="18" t="n"/>
      <c r="H31" s="1" t="n"/>
    </row>
    <row r="32">
      <c r="A32" s="19" t="inlineStr">
        <is>
          <t>Days prepaid</t>
        </is>
      </c>
      <c r="B32" s="20" t="n"/>
      <c r="C32" s="18" t="n">
        <v>11</v>
      </c>
      <c r="D32" s="18" t="n">
        <v>11</v>
      </c>
      <c r="E32" s="18" t="n">
        <v>11</v>
      </c>
      <c r="F32" s="18" t="n">
        <v>11</v>
      </c>
      <c r="G32" s="18" t="n"/>
      <c r="H32" s="1" t="n"/>
    </row>
    <row r="33">
      <c r="A33" s="19" t="inlineStr">
        <is>
          <t>Days payable — AP (DPO, on COGS)</t>
        </is>
      </c>
      <c r="B33" s="20" t="n"/>
      <c r="C33" s="18" t="n">
        <v>63</v>
      </c>
      <c r="D33" s="18" t="n">
        <v>63</v>
      </c>
      <c r="E33" s="18" t="n">
        <v>63</v>
      </c>
      <c r="F33" s="18" t="n">
        <v>63</v>
      </c>
      <c r="G33" s="18" t="n"/>
      <c r="H33" s="1" t="n"/>
    </row>
    <row r="34">
      <c r="A34" s="19" t="inlineStr">
        <is>
          <t>Days payable — Accrued liabilities</t>
        </is>
      </c>
      <c r="B34" s="20" t="n"/>
      <c r="C34" s="18" t="n">
        <v>23</v>
      </c>
      <c r="D34" s="18" t="n">
        <v>23</v>
      </c>
      <c r="E34" s="18" t="n">
        <v>23</v>
      </c>
      <c r="F34" s="18" t="n">
        <v>23</v>
      </c>
      <c r="G34" s="18" t="n"/>
      <c r="H34" s="1" t="n"/>
    </row>
    <row r="35">
      <c r="A35" s="19" t="inlineStr">
        <is>
          <t>Days payable — Accrued tax</t>
        </is>
      </c>
      <c r="B35" s="20" t="n"/>
      <c r="C35" s="18" t="n">
        <v>17</v>
      </c>
      <c r="D35" s="18" t="n">
        <v>19</v>
      </c>
      <c r="E35" s="18" t="n">
        <v>17</v>
      </c>
      <c r="F35" s="18" t="n">
        <v>17</v>
      </c>
      <c r="G35" s="18" t="n"/>
      <c r="H35" s="1" t="n"/>
    </row>
    <row r="36">
      <c r="A36" s="45" t="inlineStr">
        <is>
          <t>Minimum cash cushion ($mm)</t>
        </is>
      </c>
      <c r="B36" s="46" t="n"/>
      <c r="C36" s="18" t="n">
        <v>23</v>
      </c>
      <c r="D36" s="18" t="n">
        <v>23</v>
      </c>
      <c r="E36" s="18" t="n">
        <v>23</v>
      </c>
      <c r="F36" s="18" t="n">
        <v>23</v>
      </c>
      <c r="G36" s="18" t="n"/>
      <c r="H36" s="1" t="n"/>
    </row>
    <row r="37" ht="16.05" customHeight="1">
      <c r="A37" s="78" t="inlineStr">
        <is>
          <t>DEBT &amp; INTEREST</t>
        </is>
      </c>
      <c r="B37" s="79" t="n"/>
      <c r="C37" s="79" t="n"/>
      <c r="D37" s="79" t="n"/>
      <c r="E37" s="79" t="n"/>
      <c r="F37" s="79" t="n"/>
      <c r="G37" s="80" t="n"/>
      <c r="H37" s="44" t="n"/>
      <c r="I37" s="44" t="n"/>
    </row>
    <row r="38" ht="16.05" customHeight="1">
      <c r="A38" s="19" t="inlineStr">
        <is>
          <t>Mandatory ST debt change ($mm)</t>
        </is>
      </c>
      <c r="B38" s="20" t="n"/>
      <c r="C38" s="18" t="n">
        <v>2</v>
      </c>
      <c r="D38" s="18" t="n">
        <v>2</v>
      </c>
      <c r="E38" s="18" t="n">
        <v>2</v>
      </c>
      <c r="F38" s="18" t="n">
        <v>2</v>
      </c>
      <c r="G38" s="18" t="n"/>
      <c r="H38" s="1" t="n"/>
    </row>
    <row r="39">
      <c r="A39" s="19" t="inlineStr">
        <is>
          <t>Mandatory LT debt change ($mm)</t>
        </is>
      </c>
      <c r="B39" s="20" t="n"/>
      <c r="C39" s="18" t="n">
        <v>5</v>
      </c>
      <c r="D39" s="18" t="n">
        <v>5</v>
      </c>
      <c r="E39" s="18" t="n">
        <v>5</v>
      </c>
      <c r="F39" s="18" t="n">
        <v>5</v>
      </c>
      <c r="G39" s="18" t="n"/>
      <c r="H39" s="1" t="n"/>
    </row>
    <row r="40">
      <c r="A40" s="19" t="inlineStr">
        <is>
          <t>Short-term interest rate %</t>
        </is>
      </c>
      <c r="B40" s="20" t="n"/>
      <c r="C40" s="6" t="n">
        <v>0.07000000000000001</v>
      </c>
      <c r="D40" s="6" t="n">
        <v>0.07000000000000001</v>
      </c>
      <c r="E40" s="6" t="n">
        <v>0.07000000000000001</v>
      </c>
      <c r="F40" s="6" t="n">
        <v>0.07000000000000001</v>
      </c>
      <c r="G40" s="18" t="n"/>
      <c r="H40" s="1" t="n"/>
    </row>
    <row r="41">
      <c r="A41" s="19" t="inlineStr">
        <is>
          <t>Long-term interest rate %</t>
        </is>
      </c>
      <c r="B41" s="20" t="n"/>
      <c r="C41" s="6" t="n">
        <v>0.08</v>
      </c>
      <c r="D41" s="6" t="n">
        <v>0.08</v>
      </c>
      <c r="E41" s="6" t="n">
        <v>0.08</v>
      </c>
      <c r="F41" s="6" t="n">
        <v>0.08</v>
      </c>
      <c r="G41" s="18" t="n"/>
      <c r="H41" s="1" t="n"/>
    </row>
    <row r="42">
      <c r="A42" s="19" t="inlineStr">
        <is>
          <t>Cash interest rate %</t>
        </is>
      </c>
      <c r="B42" s="20" t="n"/>
      <c r="C42" s="6" t="n">
        <v>0.02</v>
      </c>
      <c r="D42" s="6" t="n">
        <v>0.02</v>
      </c>
      <c r="E42" s="6" t="n">
        <v>0.02</v>
      </c>
      <c r="F42" s="6" t="n">
        <v>0.02</v>
      </c>
      <c r="G42" s="18" t="n"/>
      <c r="H42" s="1" t="n"/>
    </row>
    <row r="43">
      <c r="A43" s="19" t="inlineStr">
        <is>
          <t>Minimum cash cushion ($mm)</t>
        </is>
      </c>
      <c r="B43" s="20" t="n"/>
      <c r="C43" s="18" t="n">
        <v>23</v>
      </c>
      <c r="D43" s="18" t="n">
        <v>23</v>
      </c>
      <c r="E43" s="18" t="n">
        <v>23</v>
      </c>
      <c r="F43" s="18" t="n">
        <v>23</v>
      </c>
      <c r="G43" s="18" t="n"/>
      <c r="H43" s="1" t="n"/>
    </row>
    <row r="45" ht="16.05" customHeight="1">
      <c r="A45" s="78" t="inlineStr">
        <is>
          <t>OTHER</t>
        </is>
      </c>
      <c r="B45" s="79" t="n"/>
      <c r="C45" s="79" t="n"/>
      <c r="D45" s="79" t="n"/>
      <c r="E45" s="79" t="n"/>
      <c r="F45" s="79" t="n"/>
      <c r="G45" s="80" t="n"/>
      <c r="H45" s="44" t="n"/>
      <c r="I45" s="44" t="n"/>
    </row>
    <row r="46">
      <c r="A46" s="19" t="inlineStr">
        <is>
          <t>Dividend payout ratio %</t>
        </is>
      </c>
      <c r="B46" s="20" t="n"/>
      <c r="C46" s="88" t="n">
        <v>0.04</v>
      </c>
      <c r="D46" s="88" t="n">
        <v>0.04</v>
      </c>
      <c r="E46" s="88" t="n">
        <v>0.04</v>
      </c>
      <c r="F46" s="88" t="n">
        <v>0.04</v>
      </c>
      <c r="G46" s="88" t="n"/>
      <c r="H46" s="1" t="n"/>
    </row>
    <row r="47">
      <c r="A47" s="19" t="inlineStr">
        <is>
          <t>Other operating activities ($mm)</t>
        </is>
      </c>
      <c r="B47" s="20" t="n"/>
      <c r="C47" s="88" t="n">
        <v>0.44</v>
      </c>
      <c r="D47" s="88" t="n">
        <v>0.44</v>
      </c>
      <c r="E47" s="88" t="n">
        <v>0.44</v>
      </c>
      <c r="F47" s="88" t="n">
        <v>0.44</v>
      </c>
      <c r="G47" s="88" t="n"/>
      <c r="H47" s="1" t="n"/>
    </row>
    <row r="48">
      <c r="A48" s="19" t="inlineStr">
        <is>
          <t>Investments &amp; acquisitions ($mm)</t>
        </is>
      </c>
      <c r="B48" s="20" t="n"/>
      <c r="C48" s="88" t="n">
        <v>0.04</v>
      </c>
      <c r="D48" s="88" t="n">
        <v>0.04</v>
      </c>
      <c r="E48" s="88" t="n">
        <v>0.04</v>
      </c>
      <c r="F48" s="88" t="n">
        <v>0.04</v>
      </c>
      <c r="G48" s="88" t="n"/>
      <c r="H48" s="1" t="n"/>
    </row>
    <row r="49">
      <c r="A49" s="19" t="inlineStr">
        <is>
          <t>Share issuance / (buyback) ($mm)</t>
        </is>
      </c>
      <c r="B49" s="20" t="n"/>
      <c r="C49" s="88" t="n">
        <v>0.02</v>
      </c>
      <c r="D49" s="88" t="n">
        <v>0.02</v>
      </c>
      <c r="E49" s="88" t="n">
        <v>0.02</v>
      </c>
      <c r="F49" s="88" t="n">
        <v>0.02</v>
      </c>
      <c r="G49" s="88" t="n"/>
      <c r="H49" s="1" t="n"/>
    </row>
    <row r="50">
      <c r="A50" s="19" t="inlineStr">
        <is>
          <t>Capital lease interest ($mm)</t>
        </is>
      </c>
      <c r="B50" s="20" t="n"/>
      <c r="C50" s="88" t="n">
        <v>0.04</v>
      </c>
      <c r="D50" s="88" t="n">
        <v>0.04</v>
      </c>
      <c r="E50" s="88" t="n">
        <v>0.04</v>
      </c>
      <c r="F50" s="88" t="n">
        <v>0.04</v>
      </c>
      <c r="G50" s="88" t="n"/>
      <c r="H50" s="1" t="n"/>
    </row>
    <row r="52">
      <c r="A52" s="1" t="n"/>
      <c r="B52" s="1" t="n"/>
      <c r="C52" s="1" t="n"/>
      <c r="D52" s="1" t="n"/>
      <c r="H52" s="1" t="n"/>
    </row>
    <row r="53" ht="16.05" customHeight="1">
      <c r="A53" s="75" t="inlineStr">
        <is>
          <t>COLOR LEGEND</t>
        </is>
      </c>
      <c r="B53" s="76" t="n"/>
      <c r="C53" s="76" t="n"/>
      <c r="D53" s="76" t="n"/>
      <c r="E53" s="76" t="n"/>
      <c r="F53" s="76" t="n"/>
      <c r="G53" s="77" t="n"/>
      <c r="H53" s="42" t="n"/>
      <c r="I53" s="42" t="n"/>
    </row>
    <row r="54">
      <c r="A54" s="25" t="inlineStr">
        <is>
          <t>Blue text  =  Hardcoded input (editable assumption)</t>
        </is>
      </c>
      <c r="B54" s="46" t="n"/>
      <c r="C54" s="48" t="n"/>
      <c r="D54" s="48" t="n"/>
      <c r="E54" s="48" t="n"/>
      <c r="F54" s="48" t="n"/>
      <c r="G54" s="48" t="n"/>
      <c r="H54" s="1" t="n"/>
    </row>
    <row r="55">
      <c r="A55" s="26" t="inlineStr">
        <is>
          <t>Black text  =  Formula / calculated cell</t>
        </is>
      </c>
      <c r="B55" s="46" t="n"/>
      <c r="C55" s="48" t="n"/>
      <c r="D55" s="48" t="n"/>
      <c r="E55" s="48" t="n"/>
      <c r="F55" s="48" t="n"/>
      <c r="G55" s="48" t="n"/>
      <c r="H55" s="1" t="n"/>
    </row>
    <row r="56">
      <c r="A56" s="27" t="inlineStr">
        <is>
          <t>Green text  =  Cross-sheet link</t>
        </is>
      </c>
      <c r="B56" s="46" t="n"/>
      <c r="C56" s="48" t="n"/>
      <c r="D56" s="48" t="n"/>
      <c r="E56" s="48" t="n"/>
      <c r="F56" s="48" t="n"/>
      <c r="G56" s="48" t="n"/>
      <c r="H56" s="1" t="n"/>
    </row>
    <row r="57">
      <c r="A57" s="1" t="n"/>
      <c r="B57" s="1" t="n"/>
      <c r="C57" s="1" t="n"/>
      <c r="D57" s="1" t="n"/>
      <c r="H57" s="1" t="n"/>
    </row>
    <row r="58">
      <c r="A58" s="1" t="n"/>
      <c r="B58" s="1" t="n"/>
      <c r="C58" s="1" t="n"/>
      <c r="D58" s="1" t="n"/>
      <c r="H58" s="1" t="n"/>
    </row>
    <row r="59">
      <c r="A59" s="1" t="n"/>
      <c r="B59" s="1" t="n"/>
      <c r="C59" s="1" t="n"/>
      <c r="D59" s="1" t="n"/>
      <c r="H59" s="1" t="n"/>
    </row>
    <row r="60">
      <c r="A60" s="1" t="n"/>
      <c r="B60" s="1" t="n"/>
      <c r="C60" s="1" t="n"/>
      <c r="D60" s="1" t="n"/>
      <c r="H60" s="1" t="n"/>
    </row>
    <row r="61">
      <c r="A61" s="1" t="n"/>
      <c r="B61" s="1" t="n"/>
      <c r="C61" s="1" t="n"/>
      <c r="D61" s="1" t="n"/>
      <c r="H61" s="1" t="n"/>
    </row>
    <row r="62">
      <c r="A62" s="1" t="n"/>
      <c r="B62" s="1" t="n"/>
      <c r="C62" s="1" t="n"/>
      <c r="D62" s="1" t="n"/>
      <c r="H62" s="1" t="n"/>
    </row>
    <row r="63">
      <c r="A63" s="1" t="n"/>
      <c r="B63" s="1" t="n"/>
      <c r="C63" s="1" t="n"/>
      <c r="D63" s="1" t="n"/>
      <c r="H63" s="1" t="n"/>
    </row>
    <row r="64">
      <c r="A64" s="1" t="n"/>
      <c r="B64" s="1" t="n"/>
      <c r="C64" s="1" t="n"/>
      <c r="D64" s="1" t="n"/>
      <c r="H64" s="1" t="n"/>
    </row>
  </sheetData>
  <mergeCells count="8">
    <mergeCell ref="A1:G1"/>
    <mergeCell ref="A3:G3"/>
    <mergeCell ref="A53:G53"/>
    <mergeCell ref="A20:G20"/>
    <mergeCell ref="A29:G29"/>
    <mergeCell ref="A10:G10"/>
    <mergeCell ref="A45:G45"/>
    <mergeCell ref="A37:G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L49"/>
  <sheetViews>
    <sheetView showGridLines="0" workbookViewId="0">
      <pane xSplit="2" ySplit="2" topLeftCell="C30" activePane="bottomRight" state="frozen"/>
      <selection pane="topRight" activeCell="A1" sqref="A1"/>
      <selection pane="bottomLeft" activeCell="A1" sqref="A1"/>
      <selection pane="bottomRight" activeCell="E39" sqref="E39"/>
    </sheetView>
  </sheetViews>
  <sheetFormatPr baseColWidth="8" defaultRowHeight="14.4"/>
  <cols>
    <col width="44" customWidth="1" min="1" max="1"/>
    <col width="2" customWidth="1" min="2" max="2"/>
    <col width="13" customWidth="1" min="3" max="10"/>
    <col width="4" customWidth="1" min="11" max="11"/>
  </cols>
  <sheetData>
    <row r="1" ht="16.05" customHeight="1">
      <c r="A1" s="75" t="inlineStr">
        <is>
          <t>CONSOLIDATED INCOME STATEMENT  ($mm)</t>
        </is>
      </c>
      <c r="L1" s="42" t="n"/>
    </row>
    <row r="2" ht="18" customHeight="1">
      <c r="A2" s="42" t="n"/>
      <c r="B2" s="64" t="n"/>
      <c r="C2" s="65" t="inlineStr">
        <is>
          <t>2022A</t>
        </is>
      </c>
      <c r="D2" s="65" t="inlineStr">
        <is>
          <t>2023A</t>
        </is>
      </c>
      <c r="E2" s="65" t="inlineStr">
        <is>
          <t>2024A</t>
        </is>
      </c>
      <c r="F2" s="64" t="inlineStr">
        <is>
          <t>2025P</t>
        </is>
      </c>
      <c r="G2" s="64" t="inlineStr">
        <is>
          <t>2026P</t>
        </is>
      </c>
      <c r="H2" s="64" t="inlineStr">
        <is>
          <t>2027P</t>
        </is>
      </c>
      <c r="I2" s="64" t="inlineStr">
        <is>
          <t>2028P</t>
        </is>
      </c>
      <c r="J2" s="64" t="inlineStr">
        <is>
          <t>2029P</t>
        </is>
      </c>
      <c r="K2" s="1" t="n"/>
    </row>
    <row r="3" ht="16.05" customHeight="1">
      <c r="A3" s="78" t="inlineStr">
        <is>
          <t>REVENUE</t>
        </is>
      </c>
      <c r="B3" s="79" t="n"/>
      <c r="C3" s="79" t="n"/>
      <c r="D3" s="79" t="n"/>
      <c r="E3" s="79" t="n"/>
      <c r="F3" s="79" t="n"/>
      <c r="G3" s="79" t="n"/>
      <c r="H3" s="79" t="n"/>
      <c r="I3" s="79" t="n"/>
      <c r="J3" s="80" t="n"/>
      <c r="K3" s="44" t="n"/>
      <c r="L3" s="44" t="n"/>
    </row>
    <row r="4">
      <c r="A4" s="19" t="inlineStr">
        <is>
          <t>Net sales</t>
        </is>
      </c>
      <c r="B4" s="46" t="n"/>
      <c r="C4" s="49" t="n">
        <v>1000</v>
      </c>
      <c r="D4" s="49" t="n"/>
      <c r="E4" s="68" t="n">
        <v>1000</v>
      </c>
      <c r="F4" s="49" t="n">
        <v>1110</v>
      </c>
      <c r="G4" s="49" t="n">
        <v>1232.1</v>
      </c>
      <c r="H4" s="49" t="n">
        <v>1367.631</v>
      </c>
      <c r="I4" s="49" t="n">
        <v>1518.07041</v>
      </c>
      <c r="J4" s="49" t="n">
        <v>1685.058155100001</v>
      </c>
      <c r="K4" s="1" t="n"/>
    </row>
    <row r="5">
      <c r="A5" s="19" t="inlineStr">
        <is>
          <t>Membership and other income</t>
        </is>
      </c>
      <c r="B5" s="46" t="n"/>
      <c r="C5" s="49" t="n">
        <v>500</v>
      </c>
      <c r="D5" s="49" t="n"/>
      <c r="E5" s="68" t="n">
        <v>180</v>
      </c>
      <c r="F5" s="49" t="n">
        <v>190.8</v>
      </c>
      <c r="G5" s="49" t="n">
        <v>202.248</v>
      </c>
      <c r="H5" s="49" t="n">
        <v>214.38288</v>
      </c>
      <c r="I5" s="49" t="n">
        <v>227.2458528000001</v>
      </c>
      <c r="J5" s="49" t="n">
        <v>240.8806039680001</v>
      </c>
      <c r="K5" s="1" t="n"/>
    </row>
    <row r="6" ht="15" customHeight="1" thickBot="1">
      <c r="A6" s="37" t="inlineStr">
        <is>
          <t>Total Revenue ($mm)</t>
        </is>
      </c>
      <c r="B6" s="2" t="n"/>
      <c r="C6" s="49" t="n"/>
      <c r="D6" s="49" t="n"/>
      <c r="E6" s="69">
        <f>SUM(E4:E5)</f>
        <v/>
      </c>
      <c r="F6" s="49" t="n">
        <v>1300.8</v>
      </c>
      <c r="G6" s="49" t="n">
        <v>1434.348</v>
      </c>
      <c r="H6" s="49" t="n">
        <v>1582.01388</v>
      </c>
      <c r="I6" s="49" t="n">
        <v>1745.3162628</v>
      </c>
      <c r="J6" s="49" t="n">
        <v>1925.938759068001</v>
      </c>
      <c r="K6" s="1" t="n"/>
    </row>
    <row r="7"/>
    <row r="8" ht="16.05" customHeight="1">
      <c r="A8" s="78" t="inlineStr">
        <is>
          <t>COSTS &amp; MARGINS</t>
        </is>
      </c>
      <c r="B8" s="79" t="n"/>
      <c r="C8" s="79" t="n"/>
      <c r="D8" s="79" t="n"/>
      <c r="E8" s="79" t="n"/>
      <c r="F8" s="79" t="n"/>
      <c r="G8" s="79" t="n"/>
      <c r="H8" s="79" t="n"/>
      <c r="I8" s="79" t="n"/>
      <c r="J8" s="80" t="n"/>
      <c r="K8" s="44" t="n"/>
      <c r="L8" s="44" t="n"/>
    </row>
    <row r="9">
      <c r="A9" s="19" t="inlineStr">
        <is>
          <t>Cost of goods sold</t>
        </is>
      </c>
      <c r="B9" s="46" t="n"/>
      <c r="C9" s="49" t="n"/>
      <c r="D9" s="49" t="n"/>
      <c r="E9" s="68" t="n">
        <v>420</v>
      </c>
      <c r="F9" s="49" t="n">
        <v>468.288</v>
      </c>
      <c r="G9" s="49" t="n">
        <v>516.3652800000001</v>
      </c>
      <c r="H9" s="49" t="n">
        <v>569.5249968000002</v>
      </c>
      <c r="I9" s="49" t="n">
        <v>628.3138546080002</v>
      </c>
      <c r="J9" s="49" t="n">
        <v>693.3379532644802</v>
      </c>
      <c r="K9" s="49" t="n"/>
    </row>
    <row r="10" ht="15" customHeight="1" thickBot="1">
      <c r="A10" s="84" t="inlineStr">
        <is>
          <t>Gross Profit</t>
        </is>
      </c>
      <c r="B10" s="3" t="n"/>
      <c r="C10" s="49" t="n"/>
      <c r="D10" s="49" t="n"/>
      <c r="E10" s="70">
        <f>E6-E9</f>
        <v/>
      </c>
      <c r="F10" s="49" t="n">
        <v>832.5119999999999</v>
      </c>
      <c r="G10" s="49" t="n">
        <v>917.9827200000001</v>
      </c>
      <c r="H10" s="49" t="n">
        <v>1012.4888832</v>
      </c>
      <c r="I10" s="49" t="n">
        <v>1117.002408192</v>
      </c>
      <c r="J10" s="49" t="n">
        <v>1232.60080580352</v>
      </c>
      <c r="K10" s="1" t="n"/>
    </row>
    <row r="11">
      <c r="A11" s="19" t="inlineStr">
        <is>
          <t>Selling, general &amp; administrative</t>
        </is>
      </c>
      <c r="B11" s="46" t="n"/>
      <c r="C11" s="49" t="n"/>
      <c r="D11" s="49" t="n"/>
      <c r="E11" s="68" t="n">
        <v>250</v>
      </c>
      <c r="F11" s="49" t="n"/>
      <c r="G11" s="49" t="n"/>
      <c r="H11" s="49" t="n"/>
      <c r="I11" s="49" t="n"/>
      <c r="J11" s="49" t="n"/>
      <c r="K11" s="1" t="n"/>
    </row>
    <row r="12" ht="15" customHeight="1" thickBot="1">
      <c r="A12" s="37" t="inlineStr">
        <is>
          <t>EBITDA</t>
        </is>
      </c>
      <c r="B12" s="2" t="n"/>
      <c r="C12" s="49" t="n"/>
      <c r="D12" s="49" t="n"/>
      <c r="E12" s="70">
        <f>E10-E11</f>
        <v/>
      </c>
      <c r="F12" s="49" t="n">
        <v>559.3439999999999</v>
      </c>
      <c r="G12" s="49" t="n">
        <v>616.76964</v>
      </c>
      <c r="H12" s="49" t="n">
        <v>680.2659684000002</v>
      </c>
      <c r="I12" s="49" t="n">
        <v>750.4859930040002</v>
      </c>
      <c r="J12" s="49" t="n">
        <v>828.1536663992403</v>
      </c>
      <c r="K12" s="1" t="n"/>
    </row>
    <row r="13">
      <c r="A13" s="53" t="inlineStr">
        <is>
          <t>Depreciation &amp; amortization</t>
        </is>
      </c>
      <c r="B13" s="46" t="n"/>
      <c r="C13" s="49" t="n"/>
      <c r="D13" s="49" t="n"/>
      <c r="E13" s="71" t="n">
        <v>45</v>
      </c>
      <c r="F13" s="49" t="n"/>
      <c r="G13" s="49" t="n"/>
      <c r="H13" s="49" t="n"/>
      <c r="I13" s="49" t="n"/>
      <c r="J13" s="49" t="n"/>
      <c r="K13" s="1" t="n"/>
    </row>
    <row r="14" ht="15" customHeight="1" thickBot="1">
      <c r="A14" s="37" t="inlineStr">
        <is>
          <t>EBIT</t>
        </is>
      </c>
      <c r="B14" s="2" t="n"/>
      <c r="C14" s="49" t="n"/>
      <c r="D14" s="49" t="n"/>
      <c r="E14" s="69">
        <f>E12-E13</f>
        <v/>
      </c>
      <c r="F14" s="49" t="n">
        <v>510.5906666666666</v>
      </c>
      <c r="G14" s="49" t="n">
        <v>566.1026344444444</v>
      </c>
      <c r="H14" s="49" t="n">
        <v>627.2294888074076</v>
      </c>
      <c r="I14" s="49" t="n">
        <v>694.5970689491237</v>
      </c>
      <c r="J14" s="49" t="n">
        <v>768.89740785282</v>
      </c>
      <c r="K14" s="1" t="n"/>
    </row>
    <row r="15"/>
    <row r="16" ht="16.05" customHeight="1">
      <c r="A16" s="78" t="inlineStr">
        <is>
          <t>INTEREST &amp; TAX</t>
        </is>
      </c>
      <c r="B16" s="79" t="n"/>
      <c r="C16" s="79" t="n"/>
      <c r="D16" s="79" t="n"/>
      <c r="E16" s="79" t="n"/>
      <c r="F16" s="79" t="n"/>
      <c r="G16" s="79" t="n"/>
      <c r="H16" s="79" t="n"/>
      <c r="I16" s="79" t="n"/>
      <c r="J16" s="80" t="n"/>
      <c r="K16" s="44" t="n"/>
      <c r="L16" s="44" t="n"/>
    </row>
    <row r="17">
      <c r="A17" s="53" t="inlineStr">
        <is>
          <t>Interest expense — debt (ST + LT)</t>
        </is>
      </c>
      <c r="B17" s="46" t="n"/>
      <c r="C17" s="49" t="n"/>
      <c r="D17" s="49" t="n"/>
      <c r="E17" s="71" t="n">
        <v>18</v>
      </c>
      <c r="F17" s="49" t="n"/>
      <c r="G17" s="49" t="n"/>
      <c r="H17" s="49" t="n"/>
      <c r="I17" s="49" t="n"/>
      <c r="J17" s="49" t="n"/>
      <c r="K17" s="1" t="n"/>
    </row>
    <row r="18">
      <c r="A18" s="19" t="inlineStr">
        <is>
          <t>Interest expense — capital lease</t>
        </is>
      </c>
      <c r="B18" s="46" t="n"/>
      <c r="C18" s="49" t="n"/>
      <c r="D18" s="49" t="n"/>
      <c r="E18" s="68" t="n">
        <v>8</v>
      </c>
      <c r="F18" s="49" t="n"/>
      <c r="G18" s="49" t="n"/>
      <c r="H18" s="49" t="n"/>
      <c r="I18" s="49" t="n"/>
      <c r="J18" s="49" t="n"/>
      <c r="K18" s="1" t="n"/>
    </row>
    <row r="19">
      <c r="A19" s="53" t="inlineStr">
        <is>
          <t>Interest income</t>
        </is>
      </c>
      <c r="B19" s="46" t="n"/>
      <c r="C19" s="49" t="n"/>
      <c r="D19" s="49" t="n"/>
      <c r="E19" s="71" t="n">
        <v>5</v>
      </c>
      <c r="F19" s="49" t="n"/>
      <c r="G19" s="49" t="n"/>
      <c r="H19" s="49" t="n"/>
      <c r="I19" s="49" t="n"/>
      <c r="J19" s="49" t="n"/>
      <c r="K19" s="1" t="n"/>
    </row>
    <row r="20" ht="15" customHeight="1" thickBot="1">
      <c r="A20" s="84" t="inlineStr">
        <is>
          <t>Net Interest Expense</t>
        </is>
      </c>
      <c r="B20" s="3" t="n"/>
      <c r="C20" s="49" t="n"/>
      <c r="D20" s="49" t="n"/>
      <c r="E20" s="70">
        <f>E17+E18-E19</f>
        <v/>
      </c>
      <c r="F20" s="49" t="n"/>
      <c r="G20" s="49" t="n"/>
      <c r="H20" s="49" t="n"/>
      <c r="I20" s="49" t="n"/>
      <c r="J20" s="49" t="n"/>
      <c r="K20" s="1" t="n"/>
    </row>
    <row r="21" ht="15" customHeight="1" thickBot="1">
      <c r="A21" s="37" t="inlineStr">
        <is>
          <t>EBT (Earnings Before Tax)</t>
        </is>
      </c>
      <c r="B21" s="2" t="n"/>
      <c r="C21" s="49" t="n"/>
      <c r="D21" s="49" t="n"/>
      <c r="E21" s="72">
        <f>E14-E20</f>
        <v/>
      </c>
      <c r="F21" s="49" t="n"/>
      <c r="G21" s="49" t="n"/>
      <c r="H21" s="49" t="n"/>
      <c r="I21" s="49" t="n"/>
      <c r="J21" s="49" t="n"/>
      <c r="K21" s="1" t="n"/>
    </row>
    <row r="22" ht="16.05" customHeight="1">
      <c r="A22" s="75" t="inlineStr">
        <is>
          <t>TAX DETAIL</t>
        </is>
      </c>
      <c r="B22" s="76" t="n"/>
      <c r="C22" s="76" t="n"/>
      <c r="D22" s="76" t="n"/>
      <c r="E22" s="76" t="n"/>
      <c r="F22" s="76" t="n"/>
      <c r="G22" s="76" t="n"/>
      <c r="H22" s="76" t="n"/>
      <c r="I22" s="76" t="n"/>
      <c r="J22" s="77" t="n"/>
      <c r="K22" s="42" t="n"/>
      <c r="L22" s="42" t="n"/>
    </row>
    <row r="23">
      <c r="A23" s="28" t="inlineStr">
        <is>
          <t xml:space="preserve">  Tax at statutory / corporate rate</t>
        </is>
      </c>
      <c r="B23" s="15" t="n"/>
      <c r="C23" s="54" t="n"/>
      <c r="D23" s="54" t="n"/>
      <c r="E23" s="29" t="n">
        <v>0.34</v>
      </c>
      <c r="F23" s="29" t="n"/>
      <c r="G23" s="29" t="n"/>
      <c r="H23" s="29" t="n"/>
      <c r="I23" s="29" t="n"/>
      <c r="J23" s="29" t="n"/>
      <c r="K23" s="1" t="n"/>
    </row>
    <row r="24">
      <c r="A24" s="30" t="inlineStr">
        <is>
          <t xml:space="preserve">  Additional tax — non-deductibles &amp; timing</t>
        </is>
      </c>
      <c r="B24" s="15" t="n"/>
      <c r="C24" s="54" t="n"/>
      <c r="D24" s="54" t="n"/>
      <c r="E24" s="29" t="n">
        <v>0.12</v>
      </c>
      <c r="F24" s="29" t="n"/>
      <c r="G24" s="29" t="n"/>
      <c r="H24" s="29" t="n"/>
      <c r="I24" s="29" t="n"/>
      <c r="J24" s="29" t="n"/>
      <c r="K24" s="1" t="n"/>
    </row>
    <row r="25">
      <c r="A25" s="30" t="inlineStr">
        <is>
          <t xml:space="preserve">  (of which) Current tax — cash paid</t>
        </is>
      </c>
      <c r="B25" s="31" t="n"/>
      <c r="C25" s="54" t="n"/>
      <c r="D25" s="54" t="n"/>
      <c r="E25" s="29" t="n">
        <v>50</v>
      </c>
      <c r="F25" s="29" t="n"/>
      <c r="G25" s="29" t="n"/>
      <c r="H25" s="29" t="n"/>
      <c r="I25" s="29" t="n"/>
      <c r="J25" s="29" t="n"/>
      <c r="K25" s="1" t="n"/>
    </row>
    <row r="26">
      <c r="A26" s="30" t="inlineStr">
        <is>
          <t xml:space="preserve">  (of which) Deferred tax — non-cash</t>
        </is>
      </c>
      <c r="B26" s="31" t="n"/>
      <c r="C26" s="54" t="n"/>
      <c r="D26" s="54" t="n"/>
      <c r="E26" s="29" t="n">
        <v>45</v>
      </c>
      <c r="F26" s="29" t="n"/>
      <c r="G26" s="29" t="n"/>
      <c r="H26" s="29" t="n"/>
      <c r="I26" s="29" t="n"/>
      <c r="J26" s="29" t="n"/>
      <c r="K26" s="1" t="n"/>
    </row>
    <row r="27" ht="15" customHeight="1" thickBot="1">
      <c r="A27" s="84" t="inlineStr">
        <is>
          <t>Total Income Tax Expense</t>
        </is>
      </c>
      <c r="B27" s="3" t="n"/>
      <c r="C27" s="9" t="n"/>
      <c r="D27" s="9" t="n"/>
      <c r="E27" s="9" t="n">
        <v>95</v>
      </c>
      <c r="F27" s="9" t="n"/>
      <c r="G27" s="9" t="n"/>
      <c r="H27" s="9" t="n"/>
      <c r="I27" s="9" t="n"/>
      <c r="J27" s="9" t="n"/>
      <c r="K27" s="1" t="n"/>
    </row>
    <row r="28" ht="16.05" customHeight="1" thickBot="1">
      <c r="A28" s="38" t="inlineStr">
        <is>
          <t>Net Income ($mm)</t>
        </is>
      </c>
      <c r="B28" s="39" t="n"/>
      <c r="C28" s="40" t="n"/>
      <c r="D28" s="40" t="n"/>
      <c r="E28" s="40" t="n"/>
      <c r="F28" s="40" t="n"/>
      <c r="G28" s="40" t="n"/>
      <c r="H28" s="40" t="n"/>
      <c r="I28" s="40" t="n"/>
      <c r="J28" s="40" t="n"/>
      <c r="L28" s="42" t="n"/>
    </row>
    <row r="29"/>
    <row r="30" ht="16.05" customHeight="1">
      <c r="A30" s="78" t="inlineStr">
        <is>
          <t>PER SHARE DATA</t>
        </is>
      </c>
      <c r="B30" s="79" t="n"/>
      <c r="C30" s="79" t="n"/>
      <c r="D30" s="79" t="n"/>
      <c r="E30" s="79" t="n"/>
      <c r="F30" s="79" t="n"/>
      <c r="G30" s="79" t="n"/>
      <c r="H30" s="79" t="n"/>
      <c r="I30" s="79" t="n"/>
      <c r="J30" s="80" t="n"/>
      <c r="K30" s="44" t="n"/>
      <c r="L30" s="44" t="n"/>
    </row>
    <row r="31">
      <c r="A31" s="19" t="inlineStr">
        <is>
          <t>Shares outstanding (mm)</t>
        </is>
      </c>
      <c r="B31" s="46" t="n"/>
      <c r="C31" s="49" t="n"/>
      <c r="D31" s="49" t="n"/>
      <c r="E31" s="49" t="n"/>
      <c r="F31" s="49" t="n"/>
      <c r="G31" s="49" t="n"/>
      <c r="H31" s="49" t="n"/>
      <c r="I31" s="49" t="n"/>
      <c r="J31" s="49" t="n"/>
      <c r="K31" s="1" t="n"/>
    </row>
    <row r="32">
      <c r="A32" s="45" t="inlineStr">
        <is>
          <t>EPS — Basic ($)</t>
        </is>
      </c>
      <c r="B32" s="46" t="n"/>
      <c r="C32" s="49" t="n"/>
      <c r="D32" s="49" t="n"/>
      <c r="E32" s="49" t="n"/>
      <c r="F32" s="49" t="n"/>
      <c r="G32" s="49" t="n"/>
      <c r="H32" s="49" t="n"/>
      <c r="I32" s="49" t="n"/>
      <c r="J32" s="49" t="n"/>
      <c r="K32" s="1" t="n"/>
    </row>
    <row r="33" ht="16.05" customHeight="1">
      <c r="A33" s="45" t="inlineStr">
        <is>
          <t>DPS — Dividends per share ($)</t>
        </is>
      </c>
      <c r="B33" s="46" t="n"/>
      <c r="C33" s="49" t="n"/>
      <c r="D33" s="49" t="n"/>
      <c r="E33" s="49" t="n"/>
      <c r="F33" s="49" t="n"/>
      <c r="G33" s="49" t="n"/>
      <c r="H33" s="49" t="n"/>
      <c r="I33" s="49" t="n"/>
      <c r="J33" s="49" t="n"/>
      <c r="K33" s="1" t="n"/>
    </row>
    <row r="34"/>
    <row r="35" ht="16.05" customHeight="1">
      <c r="A35" s="78" t="inlineStr">
        <is>
          <t>KEY METRICS</t>
        </is>
      </c>
      <c r="B35" s="79" t="n"/>
      <c r="C35" s="79" t="n"/>
      <c r="D35" s="79" t="n"/>
      <c r="E35" s="79" t="n"/>
      <c r="F35" s="79" t="n"/>
      <c r="G35" s="79" t="n"/>
      <c r="H35" s="79" t="n"/>
      <c r="I35" s="79" t="n"/>
      <c r="J35" s="80" t="n"/>
      <c r="K35" s="44" t="n"/>
      <c r="L35" s="44" t="n"/>
    </row>
    <row r="36">
      <c r="A36" s="45" t="inlineStr">
        <is>
          <t>Gross margin %</t>
        </is>
      </c>
      <c r="B36" s="46" t="n"/>
      <c r="C36" s="48" t="n"/>
      <c r="D36" s="48" t="n"/>
      <c r="E36" s="73" t="n">
        <v>0.644</v>
      </c>
      <c r="F36" s="48" t="n"/>
      <c r="G36" s="48" t="n"/>
      <c r="H36" s="48" t="n"/>
      <c r="I36" s="48" t="n"/>
      <c r="J36" s="48" t="n"/>
      <c r="K36" s="1" t="n"/>
    </row>
    <row r="37">
      <c r="A37" s="45" t="inlineStr">
        <is>
          <t>EBITDA margin %</t>
        </is>
      </c>
      <c r="B37" s="46" t="n"/>
      <c r="C37" s="48" t="n"/>
      <c r="D37" s="48" t="n"/>
      <c r="E37" s="73" t="n">
        <v>0.432</v>
      </c>
      <c r="F37" s="48" t="n"/>
      <c r="G37" s="48" t="n"/>
      <c r="H37" s="48" t="n"/>
      <c r="I37" s="48" t="n"/>
      <c r="J37" s="48" t="n"/>
      <c r="K37" s="1" t="n"/>
    </row>
    <row r="38">
      <c r="A38" s="45" t="inlineStr">
        <is>
          <t>EBIT margin %</t>
        </is>
      </c>
      <c r="B38" s="46" t="n"/>
      <c r="C38" s="48" t="n"/>
      <c r="D38" s="48" t="n"/>
      <c r="E38" s="73" t="n">
        <v>0.394</v>
      </c>
      <c r="F38" s="48" t="n"/>
      <c r="G38" s="48" t="n"/>
      <c r="H38" s="48" t="n"/>
      <c r="I38" s="48" t="n"/>
      <c r="J38" s="48" t="n"/>
      <c r="K38" s="1" t="n"/>
    </row>
    <row r="39">
      <c r="A39" s="45" t="inlineStr">
        <is>
          <t>Net margin %</t>
        </is>
      </c>
      <c r="B39" s="46" t="n"/>
      <c r="C39" s="48" t="n"/>
      <c r="D39" s="48" t="n"/>
      <c r="E39" s="73" t="n">
        <v>0.282</v>
      </c>
      <c r="F39" s="48" t="n"/>
      <c r="G39" s="48" t="n"/>
      <c r="H39" s="48" t="n"/>
      <c r="I39" s="48" t="n"/>
      <c r="J39" s="48" t="n"/>
      <c r="K39" s="1" t="n"/>
    </row>
    <row r="40">
      <c r="A40" s="45" t="inlineStr">
        <is>
          <t>Revenue growth %</t>
        </is>
      </c>
      <c r="B40" s="46" t="n"/>
      <c r="C40" s="55" t="n"/>
      <c r="D40" s="55" t="n"/>
      <c r="E40" s="48" t="n"/>
      <c r="F40" s="48" t="n"/>
      <c r="G40" s="48" t="n"/>
      <c r="H40" s="48" t="n"/>
      <c r="I40" s="48" t="n"/>
      <c r="J40" s="48" t="n"/>
      <c r="K40" s="1" t="n"/>
    </row>
    <row r="41" ht="16.8" customHeight="1">
      <c r="A41" s="45" t="inlineStr">
        <is>
          <t>Effective tax rate %</t>
        </is>
      </c>
      <c r="B41" s="46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1" t="n"/>
    </row>
    <row r="42">
      <c r="A42" s="17" t="inlineStr">
        <is>
          <t>Statutory / corporate tax rate %</t>
        </is>
      </c>
      <c r="B42" s="46" t="n"/>
      <c r="C42" s="54" t="n"/>
      <c r="D42" s="54" t="n"/>
      <c r="E42" s="48" t="n"/>
      <c r="F42" s="48" t="n"/>
      <c r="G42" s="48" t="n"/>
      <c r="H42" s="48" t="n"/>
      <c r="I42" s="48" t="n"/>
      <c r="J42" s="48" t="n"/>
      <c r="K42" s="1" t="n"/>
    </row>
    <row r="43">
      <c r="A43" s="17" t="inlineStr">
        <is>
          <t>Tax uplift vs statutory (ETR − statutory) %</t>
        </is>
      </c>
      <c r="B43" s="46" t="n"/>
      <c r="C43" s="54" t="n"/>
      <c r="D43" s="54" t="n"/>
      <c r="E43" s="48" t="n"/>
      <c r="F43" s="48" t="n"/>
      <c r="G43" s="48" t="n"/>
      <c r="H43" s="48" t="n"/>
      <c r="I43" s="48" t="n"/>
      <c r="J43" s="48" t="n"/>
      <c r="K43" s="1" t="n"/>
    </row>
    <row r="44"/>
    <row r="45"/>
    <row r="46" ht="16.05" customHeight="1">
      <c r="A46" s="75" t="inlineStr">
        <is>
          <t>COLOR LEGEND</t>
        </is>
      </c>
      <c r="L46" s="42" t="n"/>
    </row>
    <row r="47">
      <c r="A47" s="25" t="inlineStr">
        <is>
          <t>Blue = Hardcoded input</t>
        </is>
      </c>
      <c r="B47" s="46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1" t="n"/>
    </row>
    <row r="48">
      <c r="A48" s="26" t="inlineStr">
        <is>
          <t>Black = Formula / calculated</t>
        </is>
      </c>
      <c r="B48" s="46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1" t="n"/>
    </row>
    <row r="49">
      <c r="A49" s="27" t="inlineStr">
        <is>
          <t>Green = Cross-sheet link</t>
        </is>
      </c>
      <c r="B49" s="46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1" t="n"/>
    </row>
  </sheetData>
  <mergeCells count="6">
    <mergeCell ref="A8:J8"/>
    <mergeCell ref="A22:J22"/>
    <mergeCell ref="A3:J3"/>
    <mergeCell ref="A30:J30"/>
    <mergeCell ref="A35:J35"/>
    <mergeCell ref="A16:J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L4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E28" sqref="E28"/>
    </sheetView>
  </sheetViews>
  <sheetFormatPr baseColWidth="8" defaultRowHeight="14.4"/>
  <cols>
    <col width="44" customWidth="1" min="1" max="1"/>
    <col width="2" customWidth="1" min="2" max="2"/>
    <col width="13" customWidth="1" min="3" max="10"/>
    <col width="4" customWidth="1" min="11" max="11"/>
  </cols>
  <sheetData>
    <row r="1" ht="16.05" customHeight="1">
      <c r="A1" s="75" t="inlineStr">
        <is>
          <t>CONSOLIDATED BALANCE SHEET  ($mm)</t>
        </is>
      </c>
      <c r="L1" s="42" t="n"/>
    </row>
    <row r="2" ht="18" customHeight="1">
      <c r="A2" s="42" t="n"/>
      <c r="B2" s="64" t="n"/>
      <c r="C2" s="65" t="inlineStr">
        <is>
          <t>2022A</t>
        </is>
      </c>
      <c r="D2" s="65" t="inlineStr">
        <is>
          <t>2023A</t>
        </is>
      </c>
      <c r="E2" s="65" t="inlineStr">
        <is>
          <t>2024A</t>
        </is>
      </c>
      <c r="F2" s="64" t="inlineStr">
        <is>
          <t>2025P</t>
        </is>
      </c>
      <c r="G2" s="64" t="inlineStr">
        <is>
          <t>2026P</t>
        </is>
      </c>
      <c r="H2" s="64" t="inlineStr">
        <is>
          <t>2027P</t>
        </is>
      </c>
      <c r="I2" s="64" t="inlineStr">
        <is>
          <t>2028P</t>
        </is>
      </c>
      <c r="J2" s="64" t="inlineStr">
        <is>
          <t>2029P</t>
        </is>
      </c>
      <c r="K2" s="1" t="n"/>
    </row>
    <row r="3" ht="16.05" customHeight="1">
      <c r="A3" s="78" t="inlineStr">
        <is>
          <t>CURRENT ASSETS</t>
        </is>
      </c>
      <c r="B3" s="79" t="n"/>
      <c r="C3" s="79" t="n"/>
      <c r="D3" s="79" t="n"/>
      <c r="E3" s="79" t="n"/>
      <c r="F3" s="79" t="n"/>
      <c r="G3" s="79" t="n"/>
      <c r="H3" s="79" t="n"/>
      <c r="I3" s="79" t="n"/>
      <c r="J3" s="80" t="n"/>
      <c r="K3" s="44" t="n"/>
      <c r="L3" s="44" t="n"/>
    </row>
    <row r="4">
      <c r="A4" s="53" t="inlineStr">
        <is>
          <t>Cash and cash equivalents</t>
        </is>
      </c>
      <c r="B4" s="46" t="n"/>
      <c r="C4" s="49" t="n"/>
      <c r="D4" s="49" t="n"/>
      <c r="E4" s="71" t="n">
        <v>150</v>
      </c>
      <c r="F4" s="49" t="n">
        <v>477.0675610480365</v>
      </c>
      <c r="G4" s="49" t="n">
        <v>807.4042370636371</v>
      </c>
      <c r="H4" s="49" t="n">
        <v>1174.659247337199</v>
      </c>
      <c r="I4" s="49" t="n">
        <v>1582.886708696695</v>
      </c>
      <c r="J4" s="49" t="n">
        <v>2036.570785070438</v>
      </c>
      <c r="K4" s="1" t="n"/>
    </row>
    <row r="5">
      <c r="A5" s="53" t="inlineStr">
        <is>
          <t>Receivables, net</t>
        </is>
      </c>
      <c r="B5" s="46" t="n"/>
      <c r="C5" s="49" t="n"/>
      <c r="D5" s="49" t="n"/>
      <c r="E5" s="71" t="n">
        <v>95</v>
      </c>
      <c r="F5" s="49" t="n">
        <v>121.1704109589041</v>
      </c>
      <c r="G5" s="49" t="n">
        <v>133.610498630137</v>
      </c>
      <c r="H5" s="49" t="n">
        <v>147.3656764931507</v>
      </c>
      <c r="I5" s="49" t="n">
        <v>162.5774053019178</v>
      </c>
      <c r="J5" s="49" t="n">
        <v>179.4025145433206</v>
      </c>
      <c r="K5" s="1" t="n"/>
    </row>
    <row r="6">
      <c r="A6" s="53" t="inlineStr">
        <is>
          <t>Inventories</t>
        </is>
      </c>
      <c r="B6" s="46" t="n"/>
      <c r="C6" s="49" t="n"/>
      <c r="D6" s="49" t="n"/>
      <c r="E6" s="71" t="n">
        <v>70</v>
      </c>
      <c r="F6" s="49" t="n">
        <v>61.58307945205478</v>
      </c>
      <c r="G6" s="49" t="n">
        <v>67.90557106849316</v>
      </c>
      <c r="H6" s="49" t="n">
        <v>74.89643793534248</v>
      </c>
      <c r="I6" s="49" t="n">
        <v>82.62757540050413</v>
      </c>
      <c r="J6" s="49" t="n">
        <v>91.17868974436999</v>
      </c>
      <c r="K6" s="1" t="n"/>
    </row>
    <row r="7">
      <c r="A7" s="53" t="inlineStr">
        <is>
          <t>Prepaid expenses and other</t>
        </is>
      </c>
      <c r="B7" s="46" t="n"/>
      <c r="C7" s="49" t="n"/>
      <c r="D7" s="49" t="n"/>
      <c r="E7" s="71" t="n">
        <v>25</v>
      </c>
      <c r="F7" s="49" t="n">
        <v>39.20219178082192</v>
      </c>
      <c r="G7" s="49" t="n">
        <v>43.22692602739727</v>
      </c>
      <c r="H7" s="49" t="n">
        <v>47.677130630137</v>
      </c>
      <c r="I7" s="49" t="n">
        <v>52.59857230356166</v>
      </c>
      <c r="J7" s="49" t="n">
        <v>58.04198999930961</v>
      </c>
      <c r="K7" s="1" t="n"/>
    </row>
    <row r="8" ht="15" customHeight="1" thickBot="1">
      <c r="A8" s="37" t="inlineStr">
        <is>
          <t>Total Current Assets</t>
        </is>
      </c>
      <c r="B8" s="2" t="n"/>
      <c r="C8" s="49" t="n"/>
      <c r="D8" s="49" t="n"/>
      <c r="E8" s="70">
        <f>SUM(E4:E7)</f>
        <v/>
      </c>
      <c r="F8" s="49" t="n"/>
      <c r="G8" s="49" t="n"/>
      <c r="H8" s="49" t="n"/>
      <c r="I8" s="49" t="n"/>
      <c r="J8" s="49" t="n"/>
      <c r="K8" s="1" t="n"/>
    </row>
    <row r="9"/>
    <row r="10" ht="16.05" customHeight="1">
      <c r="A10" s="78" t="inlineStr">
        <is>
          <t>NON-CURRENT ASSETS</t>
        </is>
      </c>
      <c r="B10" s="79" t="n"/>
      <c r="C10" s="79" t="n"/>
      <c r="D10" s="79" t="n"/>
      <c r="E10" s="79" t="n"/>
      <c r="F10" s="79" t="n"/>
      <c r="G10" s="79" t="n"/>
      <c r="H10" s="79" t="n"/>
      <c r="I10" s="79" t="n"/>
      <c r="J10" s="80" t="n"/>
      <c r="K10" s="44" t="n"/>
      <c r="L10" s="44" t="n"/>
    </row>
    <row r="11">
      <c r="A11" s="53" t="inlineStr">
        <is>
          <t>Property, plant &amp; equipment, net</t>
        </is>
      </c>
      <c r="B11" s="46" t="n"/>
      <c r="C11" s="49" t="n"/>
      <c r="D11" s="49" t="n"/>
      <c r="E11" s="71" t="n">
        <v>520</v>
      </c>
      <c r="F11" s="49" t="n">
        <v>536.2866666666666</v>
      </c>
      <c r="G11" s="49" t="n">
        <v>557.3370611111111</v>
      </c>
      <c r="H11" s="49" t="n">
        <v>583.4012755185184</v>
      </c>
      <c r="I11" s="49" t="n">
        <v>614.7781646036419</v>
      </c>
      <c r="J11" s="49" t="n">
        <v>651.8188440106218</v>
      </c>
      <c r="K11" s="1" t="n"/>
    </row>
    <row r="12">
      <c r="A12" s="19" t="inlineStr">
        <is>
          <t>Goodwill</t>
        </is>
      </c>
      <c r="B12" s="46" t="n"/>
      <c r="C12" s="49" t="n"/>
      <c r="D12" s="49" t="n"/>
      <c r="E12" s="68" t="n">
        <v>85</v>
      </c>
      <c r="F12" s="49" t="n">
        <v>85</v>
      </c>
      <c r="G12" s="49" t="n">
        <v>85</v>
      </c>
      <c r="H12" s="49" t="n">
        <v>85</v>
      </c>
      <c r="I12" s="49" t="n">
        <v>85</v>
      </c>
      <c r="J12" s="49" t="n">
        <v>85</v>
      </c>
      <c r="K12" s="1" t="n"/>
    </row>
    <row r="13">
      <c r="A13" s="19" t="inlineStr">
        <is>
          <t>Other assets &amp; deferred charges</t>
        </is>
      </c>
      <c r="B13" s="46" t="n"/>
      <c r="C13" s="49" t="n"/>
      <c r="D13" s="49" t="n"/>
      <c r="E13" s="68" t="n">
        <v>35</v>
      </c>
      <c r="F13" s="49" t="n">
        <v>35</v>
      </c>
      <c r="G13" s="49" t="n">
        <v>35</v>
      </c>
      <c r="H13" s="49" t="n">
        <v>35</v>
      </c>
      <c r="I13" s="49" t="n">
        <v>35</v>
      </c>
      <c r="J13" s="49" t="n">
        <v>35</v>
      </c>
      <c r="K13" s="1" t="n"/>
    </row>
    <row r="14" ht="15" customHeight="1" thickBot="1">
      <c r="A14" s="37" t="inlineStr">
        <is>
          <t>TOTAL ASSETS ($mm)</t>
        </is>
      </c>
      <c r="B14" s="2" t="n"/>
      <c r="C14" s="49" t="n"/>
      <c r="D14" s="49" t="n"/>
      <c r="E14" s="69">
        <f>E8+SUM(E11:E13)</f>
        <v/>
      </c>
      <c r="F14" s="49" t="n"/>
      <c r="G14" s="49" t="n"/>
      <c r="H14" s="49" t="n"/>
      <c r="I14" s="49" t="n"/>
      <c r="J14" s="49" t="n"/>
      <c r="K14" s="1" t="n"/>
    </row>
    <row r="15"/>
    <row r="16" ht="16.05" customHeight="1">
      <c r="A16" s="78" t="inlineStr">
        <is>
          <t>CURRENT LIABILITIES</t>
        </is>
      </c>
      <c r="B16" s="79" t="n"/>
      <c r="C16" s="79" t="n"/>
      <c r="D16" s="79" t="n"/>
      <c r="E16" s="79" t="n"/>
      <c r="F16" s="79" t="n"/>
      <c r="G16" s="79" t="n"/>
      <c r="H16" s="79" t="n"/>
      <c r="I16" s="79" t="n"/>
      <c r="J16" s="80" t="n"/>
      <c r="K16" s="44" t="n"/>
      <c r="L16" s="44" t="n"/>
    </row>
    <row r="17">
      <c r="A17" s="53" t="inlineStr">
        <is>
          <t>Short-term borrowings</t>
        </is>
      </c>
      <c r="B17" s="46" t="n"/>
      <c r="C17" s="49" t="n"/>
      <c r="D17" s="49" t="n"/>
      <c r="E17" s="49" t="n">
        <v>50</v>
      </c>
      <c r="F17" s="49" t="n">
        <v>52</v>
      </c>
      <c r="G17" s="49" t="n">
        <v>54</v>
      </c>
      <c r="H17" s="49" t="n">
        <v>56</v>
      </c>
      <c r="I17" s="49" t="n">
        <v>58</v>
      </c>
      <c r="J17" s="49" t="n">
        <v>60</v>
      </c>
      <c r="K17" s="1" t="n"/>
    </row>
    <row r="18">
      <c r="A18" s="53" t="inlineStr">
        <is>
          <t>Accounts payable</t>
        </is>
      </c>
      <c r="B18" s="46" t="n"/>
      <c r="C18" s="49" t="n"/>
      <c r="D18" s="49" t="n"/>
      <c r="E18" s="49" t="n">
        <v>65</v>
      </c>
      <c r="F18" s="49" t="n">
        <v>80.82779178082191</v>
      </c>
      <c r="G18" s="49" t="n">
        <v>89.12606202739728</v>
      </c>
      <c r="H18" s="49" t="n">
        <v>98.30157479013702</v>
      </c>
      <c r="I18" s="49" t="n">
        <v>108.4486927131617</v>
      </c>
      <c r="J18" s="49" t="n">
        <v>119.6720302894856</v>
      </c>
      <c r="K18" s="1" t="n"/>
    </row>
    <row r="19">
      <c r="A19" s="53" t="inlineStr">
        <is>
          <t>Accrued liabilities</t>
        </is>
      </c>
      <c r="B19" s="46" t="n"/>
      <c r="C19" s="49" t="n"/>
      <c r="D19" s="49" t="n"/>
      <c r="E19" s="49" t="n">
        <v>28</v>
      </c>
      <c r="F19" s="49" t="n">
        <v>81.96821917808219</v>
      </c>
      <c r="G19" s="49" t="n">
        <v>90.38357260273975</v>
      </c>
      <c r="H19" s="49" t="n">
        <v>99.68854586301373</v>
      </c>
      <c r="I19" s="49" t="n">
        <v>109.9788329983562</v>
      </c>
      <c r="J19" s="49" t="n">
        <v>121.360524544011</v>
      </c>
      <c r="K19" s="1" t="n"/>
    </row>
    <row r="20">
      <c r="A20" s="53" t="inlineStr">
        <is>
          <t>Accrued income taxes</t>
        </is>
      </c>
      <c r="B20" s="46" t="n"/>
      <c r="C20" s="49" t="n"/>
      <c r="D20" s="49" t="n"/>
      <c r="E20" s="49" t="n">
        <v>13</v>
      </c>
      <c r="F20" s="49" t="n">
        <v>0.03198854757990868</v>
      </c>
      <c r="G20" s="49" t="n">
        <v>0.03599955303790862</v>
      </c>
      <c r="H20" s="49" t="n">
        <v>0.04038094315194136</v>
      </c>
      <c r="I20" s="49" t="n">
        <v>0.04521740833622371</v>
      </c>
      <c r="J20" s="49" t="n">
        <v>0.0505593599458541</v>
      </c>
      <c r="K20" s="1" t="n"/>
    </row>
    <row r="21">
      <c r="A21" s="37" t="inlineStr">
        <is>
          <t>Total Current Liabilities</t>
        </is>
      </c>
      <c r="B21" s="2" t="n"/>
      <c r="C21" s="49" t="n"/>
      <c r="D21" s="49" t="n"/>
      <c r="E21" s="49" t="n">
        <v>186</v>
      </c>
      <c r="F21" s="49" t="n"/>
      <c r="G21" s="49" t="n"/>
      <c r="H21" s="49" t="n"/>
      <c r="I21" s="49" t="n"/>
      <c r="J21" s="49" t="n"/>
      <c r="K21" s="1" t="n"/>
    </row>
    <row r="22"/>
    <row r="23" ht="16.05" customHeight="1">
      <c r="A23" s="78" t="inlineStr">
        <is>
          <t>NON-CURRENT LIABILITIES</t>
        </is>
      </c>
      <c r="B23" s="79" t="n"/>
      <c r="C23" s="79" t="n"/>
      <c r="D23" s="79" t="n"/>
      <c r="E23" s="79" t="n"/>
      <c r="F23" s="79" t="n"/>
      <c r="G23" s="79" t="n"/>
      <c r="H23" s="79" t="n"/>
      <c r="I23" s="79" t="n"/>
      <c r="J23" s="80" t="n"/>
      <c r="K23" s="44" t="n"/>
      <c r="L23" s="44" t="n"/>
    </row>
    <row r="24">
      <c r="A24" s="53" t="inlineStr">
        <is>
          <t>Long-term debt</t>
        </is>
      </c>
      <c r="B24" s="46" t="n"/>
      <c r="C24" s="49" t="n"/>
      <c r="D24" s="49" t="n"/>
      <c r="E24" s="49" t="n">
        <v>240</v>
      </c>
      <c r="F24" s="49" t="n">
        <v>245</v>
      </c>
      <c r="G24" s="49" t="n">
        <v>250</v>
      </c>
      <c r="H24" s="49" t="n">
        <v>255</v>
      </c>
      <c r="I24" s="49" t="n">
        <v>260</v>
      </c>
      <c r="J24" s="49" t="n">
        <v>265</v>
      </c>
      <c r="K24" s="1" t="n"/>
    </row>
    <row r="25">
      <c r="A25" s="84" t="inlineStr">
        <is>
          <t>Total Liabilities</t>
        </is>
      </c>
      <c r="B25" s="3" t="n"/>
      <c r="C25" s="49" t="n"/>
      <c r="D25" s="49" t="n"/>
      <c r="E25" s="49" t="n">
        <v>240</v>
      </c>
      <c r="F25" s="49" t="n"/>
      <c r="G25" s="49" t="n"/>
      <c r="H25" s="49" t="n"/>
      <c r="I25" s="49" t="n"/>
      <c r="J25" s="49" t="n"/>
      <c r="K25" s="1" t="n"/>
    </row>
    <row r="26"/>
    <row r="27" ht="16.05" customHeight="1">
      <c r="A27" s="78" t="inlineStr">
        <is>
          <t>SHAREHOLDERS' EQUITY</t>
        </is>
      </c>
      <c r="B27" s="79" t="n"/>
      <c r="C27" s="79" t="n"/>
      <c r="D27" s="79" t="n"/>
      <c r="E27" s="79" t="n"/>
      <c r="F27" s="79" t="n"/>
      <c r="G27" s="79" t="n"/>
      <c r="H27" s="79" t="n"/>
      <c r="I27" s="79" t="n"/>
      <c r="J27" s="80" t="n"/>
      <c r="K27" s="44" t="n"/>
      <c r="L27" s="44" t="n"/>
    </row>
    <row r="28">
      <c r="A28" s="19" t="inlineStr">
        <is>
          <t>Share capital &amp; premium</t>
        </is>
      </c>
      <c r="B28" s="46" t="n"/>
      <c r="C28" s="49" t="n"/>
      <c r="D28" s="49" t="n"/>
      <c r="E28" s="49" t="n">
        <v>987</v>
      </c>
      <c r="F28" s="49" t="n">
        <v>987</v>
      </c>
      <c r="G28" s="49" t="n">
        <v>987</v>
      </c>
      <c r="H28" s="49" t="n">
        <v>987</v>
      </c>
      <c r="I28" s="49" t="n">
        <v>987</v>
      </c>
      <c r="J28" s="49" t="n">
        <v>987</v>
      </c>
      <c r="K28" s="1" t="n"/>
    </row>
    <row r="29">
      <c r="A29" s="53" t="inlineStr">
        <is>
          <t>Retained earnings</t>
        </is>
      </c>
      <c r="B29" s="46" t="n"/>
      <c r="C29" s="49" t="n"/>
      <c r="D29" s="49" t="n"/>
      <c r="E29" s="49" t="n">
        <v>8989</v>
      </c>
      <c r="F29" s="49" t="n">
        <v>9299.8319104</v>
      </c>
      <c r="G29" s="49" t="n">
        <v>9649.638659717601</v>
      </c>
      <c r="H29" s="49" t="n">
        <v>10042.01926631804</v>
      </c>
      <c r="I29" s="49" t="n">
        <v>10481.39568318647</v>
      </c>
      <c r="J29" s="49" t="n">
        <v>10972.67970917462</v>
      </c>
      <c r="K29" s="1" t="n"/>
    </row>
    <row r="30">
      <c r="A30" s="84" t="inlineStr">
        <is>
          <t>Total Shareholders' Equity</t>
        </is>
      </c>
      <c r="B30" s="3" t="n"/>
      <c r="C30" s="49" t="n"/>
      <c r="D30" s="49" t="n"/>
      <c r="E30" s="49" t="n">
        <v>554</v>
      </c>
      <c r="F30" s="49" t="n"/>
      <c r="G30" s="49" t="n"/>
      <c r="H30" s="49" t="n"/>
      <c r="I30" s="49" t="n"/>
      <c r="J30" s="49" t="n"/>
      <c r="K30" s="1" t="n"/>
    </row>
    <row r="31" ht="16.05" customHeight="1">
      <c r="A31" s="78" t="inlineStr">
        <is>
          <t>TOTAL LIABILITIES &amp; EQUITY ($mm)</t>
        </is>
      </c>
      <c r="B31" s="79" t="n"/>
      <c r="C31" s="79" t="n"/>
      <c r="D31" s="79" t="n"/>
      <c r="E31" s="79" t="n"/>
      <c r="F31" s="79" t="n"/>
      <c r="G31" s="79" t="n"/>
      <c r="H31" s="79" t="n"/>
      <c r="I31" s="79" t="n"/>
      <c r="J31" s="80" t="n"/>
      <c r="K31" s="44" t="n"/>
      <c r="L31" s="44" t="n"/>
    </row>
    <row r="32">
      <c r="A32" s="38" t="n"/>
      <c r="B32" s="39" t="n"/>
      <c r="C32" s="40" t="n"/>
      <c r="D32" s="40" t="n"/>
      <c r="E32" s="40" t="n"/>
      <c r="F32" s="40" t="n"/>
      <c r="G32" s="40" t="n"/>
      <c r="H32" s="40" t="n"/>
      <c r="I32" s="40" t="n"/>
      <c r="J32" s="40" t="n"/>
    </row>
    <row r="33" ht="16.05" customHeight="1">
      <c r="A33" s="81" t="inlineStr">
        <is>
          <t>BALANCE SHEET CHECK</t>
        </is>
      </c>
      <c r="B33" s="82" t="n"/>
      <c r="C33" s="82" t="n"/>
      <c r="D33" s="82" t="n"/>
      <c r="E33" s="82" t="n"/>
      <c r="F33" s="82" t="n"/>
      <c r="G33" s="82" t="n"/>
      <c r="H33" s="82" t="n"/>
      <c r="I33" s="82" t="n"/>
      <c r="J33" s="83" t="n"/>
      <c r="K33" s="66" t="n"/>
    </row>
    <row r="34" ht="16.05" customHeight="1">
      <c r="A34" s="81" t="inlineStr">
        <is>
          <t>CHECK: Assets − Liab &amp; Equity  (must = 0)</t>
        </is>
      </c>
      <c r="B34" s="82" t="n"/>
      <c r="C34" s="82" t="n"/>
      <c r="D34" s="82" t="n"/>
      <c r="E34" s="82" t="n"/>
      <c r="F34" s="82" t="n"/>
      <c r="G34" s="82" t="n"/>
      <c r="H34" s="82" t="n"/>
      <c r="I34" s="82" t="n"/>
      <c r="J34" s="83" t="n"/>
      <c r="K34" s="66" t="n"/>
    </row>
    <row r="35">
      <c r="C35" s="67" t="n"/>
      <c r="D35" s="67" t="n"/>
      <c r="E35" s="67" t="n"/>
      <c r="F35" s="67" t="n"/>
      <c r="G35" s="67" t="n"/>
      <c r="H35" s="67" t="n"/>
      <c r="I35" s="67" t="n"/>
      <c r="J35" s="67" t="n"/>
    </row>
    <row r="36" ht="6" customHeight="1"/>
    <row r="37" ht="16.05" customHeight="1">
      <c r="A37" s="75" t="inlineStr">
        <is>
          <t>COLOR LEGEND</t>
        </is>
      </c>
      <c r="L37" s="42" t="n"/>
    </row>
    <row r="38">
      <c r="A38" s="25" t="inlineStr">
        <is>
          <t>Blue = Hardcoded input</t>
        </is>
      </c>
      <c r="B38" s="46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1" t="n"/>
    </row>
    <row r="39">
      <c r="A39" s="26" t="inlineStr">
        <is>
          <t>Black = Formula / calculated</t>
        </is>
      </c>
      <c r="B39" s="46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1" t="n"/>
    </row>
    <row r="40">
      <c r="A40" s="27" t="inlineStr">
        <is>
          <t>Green = Cross-sheet link</t>
        </is>
      </c>
      <c r="B40" s="46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1" t="n"/>
    </row>
  </sheetData>
  <mergeCells count="8">
    <mergeCell ref="A23:J23"/>
    <mergeCell ref="A31:J31"/>
    <mergeCell ref="A27:J27"/>
    <mergeCell ref="A3:J3"/>
    <mergeCell ref="A34:J34"/>
    <mergeCell ref="A16:J16"/>
    <mergeCell ref="A10:J10"/>
    <mergeCell ref="A33:J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7030A0"/>
    <outlinePr summaryBelow="1" summaryRight="1"/>
    <pageSetUpPr/>
  </sheetPr>
  <dimension ref="A1:L40"/>
  <sheetViews>
    <sheetView showGridLines="0" workbookViewId="0">
      <pane xSplit="2" ySplit="2" topLeftCell="C16" activePane="bottomRight" state="frozen"/>
      <selection pane="topRight" activeCell="A1" sqref="A1"/>
      <selection pane="bottomLeft" activeCell="A1" sqref="A1"/>
      <selection pane="bottomRight" activeCell="E34" sqref="E34"/>
    </sheetView>
  </sheetViews>
  <sheetFormatPr baseColWidth="8" defaultRowHeight="14.4"/>
  <cols>
    <col width="44" customWidth="1" min="1" max="1"/>
    <col width="2" customWidth="1" min="2" max="2"/>
    <col width="13" customWidth="1" min="3" max="10"/>
    <col width="4" customWidth="1" min="11" max="11"/>
  </cols>
  <sheetData>
    <row r="1" ht="16.05" customHeight="1">
      <c r="A1" s="75" t="inlineStr">
        <is>
          <t>CONSOLIDATED CASH FLOW STATEMENT  ($mm)</t>
        </is>
      </c>
      <c r="L1" s="42" t="n"/>
    </row>
    <row r="2" ht="18" customHeight="1">
      <c r="A2" s="42" t="n"/>
      <c r="B2" s="64" t="n"/>
      <c r="C2" s="65" t="inlineStr">
        <is>
          <t>2022A</t>
        </is>
      </c>
      <c r="D2" s="65" t="inlineStr">
        <is>
          <t>2023A</t>
        </is>
      </c>
      <c r="E2" s="65" t="inlineStr">
        <is>
          <t>2024A</t>
        </is>
      </c>
      <c r="F2" s="64" t="inlineStr">
        <is>
          <t>2025P</t>
        </is>
      </c>
      <c r="G2" s="64" t="inlineStr">
        <is>
          <t>2026P</t>
        </is>
      </c>
      <c r="H2" s="64" t="inlineStr">
        <is>
          <t>2027P</t>
        </is>
      </c>
      <c r="I2" s="64" t="inlineStr">
        <is>
          <t>2028P</t>
        </is>
      </c>
      <c r="J2" s="64" t="inlineStr">
        <is>
          <t>2029P</t>
        </is>
      </c>
      <c r="K2" s="1" t="n"/>
    </row>
    <row r="3">
      <c r="A3" s="56" t="inlineStr">
        <is>
          <t>Opening cash balance</t>
        </is>
      </c>
      <c r="B3" s="46" t="n"/>
      <c r="C3" s="49" t="n"/>
      <c r="D3" s="49" t="n"/>
      <c r="E3" s="49" t="n">
        <v>150</v>
      </c>
      <c r="F3" s="49" t="n"/>
      <c r="G3" s="49" t="n"/>
      <c r="H3" s="49" t="n"/>
      <c r="I3" s="49" t="n"/>
      <c r="J3" s="49" t="n"/>
      <c r="K3" s="1" t="n"/>
    </row>
    <row r="4"/>
    <row r="5" ht="16.05" customHeight="1">
      <c r="A5" s="78" t="inlineStr">
        <is>
          <t>CASH FROM OPERATING ACTIVITIES</t>
        </is>
      </c>
      <c r="B5" s="79" t="n"/>
      <c r="C5" s="79" t="n"/>
      <c r="D5" s="79" t="n"/>
      <c r="E5" s="79" t="n"/>
      <c r="F5" s="79" t="n"/>
      <c r="G5" s="79" t="n"/>
      <c r="H5" s="79" t="n"/>
      <c r="I5" s="79" t="n"/>
      <c r="J5" s="80" t="n"/>
      <c r="K5" s="44" t="n"/>
      <c r="L5" s="44" t="n"/>
    </row>
    <row r="6">
      <c r="A6" s="53" t="inlineStr">
        <is>
          <t>Net income</t>
        </is>
      </c>
      <c r="B6" s="46" t="n"/>
      <c r="C6" s="49" t="n"/>
      <c r="D6" s="49" t="n"/>
      <c r="E6" s="49" t="n">
        <v>333</v>
      </c>
      <c r="F6" s="49" t="n">
        <v>323.78324</v>
      </c>
      <c r="G6" s="49" t="n">
        <v>364.3820305391674</v>
      </c>
      <c r="H6" s="49" t="n">
        <v>408.7297985421291</v>
      </c>
      <c r="I6" s="49" t="n">
        <v>457.6837675712727</v>
      </c>
      <c r="J6" s="49" t="n">
        <v>511.7541937376575</v>
      </c>
      <c r="K6" s="1" t="n"/>
    </row>
    <row r="7">
      <c r="A7" s="53" t="inlineStr">
        <is>
          <t>Depreciation &amp; amortization (non-cash add-back)</t>
        </is>
      </c>
      <c r="B7" s="46" t="n"/>
      <c r="C7" s="49" t="n"/>
      <c r="D7" s="49" t="n"/>
      <c r="E7" s="49" t="n">
        <v>45</v>
      </c>
      <c r="F7" s="49" t="n">
        <v>48.75333333333334</v>
      </c>
      <c r="G7" s="49" t="n">
        <v>50.66700555555555</v>
      </c>
      <c r="H7" s="49" t="n">
        <v>53.0364795925926</v>
      </c>
      <c r="I7" s="49" t="n">
        <v>55.88892405487654</v>
      </c>
      <c r="J7" s="49" t="n">
        <v>59.25625854642017</v>
      </c>
      <c r="K7" s="1" t="n"/>
    </row>
    <row r="8">
      <c r="A8" s="19" t="inlineStr">
        <is>
          <t>Deferred income taxes (non-cash add-back)</t>
        </is>
      </c>
      <c r="B8" s="46" t="n"/>
      <c r="C8" s="49" t="n"/>
      <c r="D8" s="49" t="n"/>
      <c r="E8" s="49" t="n">
        <v>8</v>
      </c>
      <c r="F8" s="49" t="n">
        <v>0.23</v>
      </c>
      <c r="G8" s="49" t="n">
        <v>0.23</v>
      </c>
      <c r="H8" s="49" t="n">
        <v>0.23</v>
      </c>
      <c r="I8" s="49" t="n">
        <v>0.23</v>
      </c>
      <c r="J8" s="49" t="n">
        <v>0.23</v>
      </c>
      <c r="K8" s="1" t="n"/>
    </row>
    <row r="9">
      <c r="A9" s="19" t="inlineStr">
        <is>
          <t>Other operating activities</t>
        </is>
      </c>
      <c r="B9" s="46" t="n"/>
      <c r="C9" s="49" t="n"/>
      <c r="D9" s="49" t="n"/>
      <c r="E9" s="49" t="n">
        <v>4</v>
      </c>
      <c r="F9" s="49" t="n">
        <v>0.44</v>
      </c>
      <c r="G9" s="49" t="n">
        <v>0.44</v>
      </c>
      <c r="H9" s="49" t="n">
        <v>0.44</v>
      </c>
      <c r="I9" s="49" t="n">
        <v>0.44</v>
      </c>
      <c r="J9" s="49" t="n">
        <v>0.44</v>
      </c>
      <c r="K9" s="1" t="n"/>
    </row>
    <row r="10" ht="16.05" customHeight="1">
      <c r="A10" s="75" t="n">
        <v>-8.209270207428183</v>
      </c>
      <c r="B10" s="76" t="n"/>
      <c r="C10" s="76" t="n"/>
      <c r="D10" s="76" t="n"/>
      <c r="E10" s="76" t="n"/>
      <c r="F10" s="76" t="n"/>
      <c r="G10" s="76" t="n"/>
      <c r="H10" s="76" t="n"/>
      <c r="I10" s="76" t="n"/>
      <c r="J10" s="77" t="n"/>
      <c r="K10" s="42" t="n"/>
      <c r="L10" s="42" t="n"/>
    </row>
    <row r="11">
      <c r="A11" s="57" t="inlineStr">
        <is>
          <t xml:space="preserve">  Changes in receivables</t>
        </is>
      </c>
      <c r="B11" s="46" t="n"/>
      <c r="C11" s="49" t="n"/>
      <c r="D11" s="49" t="n"/>
      <c r="E11" s="49" t="n">
        <v>-5</v>
      </c>
      <c r="F11" s="49" t="n"/>
      <c r="G11" s="49" t="n"/>
      <c r="H11" s="49" t="n"/>
      <c r="I11" s="49" t="n"/>
      <c r="J11" s="49" t="n"/>
      <c r="K11" s="1" t="n"/>
    </row>
    <row r="12">
      <c r="A12" s="57" t="inlineStr">
        <is>
          <t xml:space="preserve">  Changes in inventory</t>
        </is>
      </c>
      <c r="B12" s="46" t="n"/>
      <c r="C12" s="49" t="n"/>
      <c r="D12" s="49" t="n"/>
      <c r="E12" s="49" t="n">
        <v>-3</v>
      </c>
      <c r="F12" s="49" t="n"/>
      <c r="G12" s="49" t="n"/>
      <c r="H12" s="49" t="n"/>
      <c r="I12" s="49" t="n"/>
      <c r="J12" s="49" t="n"/>
      <c r="K12" s="1" t="n"/>
    </row>
    <row r="13">
      <c r="A13" s="57" t="inlineStr">
        <is>
          <t xml:space="preserve">  Changes in prepaid expenses</t>
        </is>
      </c>
      <c r="B13" s="46" t="n"/>
      <c r="C13" s="49" t="n"/>
      <c r="D13" s="49" t="n"/>
      <c r="E13" s="49" t="n">
        <v>-1</v>
      </c>
      <c r="F13" s="49" t="n"/>
      <c r="G13" s="49" t="n"/>
      <c r="H13" s="49" t="n"/>
      <c r="I13" s="49" t="n"/>
      <c r="J13" s="49" t="n"/>
      <c r="K13" s="1" t="n"/>
    </row>
    <row r="14">
      <c r="A14" s="57" t="inlineStr">
        <is>
          <t xml:space="preserve">  Changes in accounts payable</t>
        </is>
      </c>
      <c r="B14" s="46" t="n"/>
      <c r="C14" s="49" t="n"/>
      <c r="D14" s="49" t="n"/>
      <c r="E14" s="49" t="n">
        <v>4</v>
      </c>
      <c r="F14" s="49" t="n"/>
      <c r="G14" s="49" t="n"/>
      <c r="H14" s="49" t="n"/>
      <c r="I14" s="49" t="n"/>
      <c r="J14" s="49" t="n"/>
      <c r="K14" s="1" t="n"/>
    </row>
    <row r="15">
      <c r="A15" s="57" t="inlineStr">
        <is>
          <t xml:space="preserve">  Changes in accrued liabilities</t>
        </is>
      </c>
      <c r="B15" s="46" t="n"/>
      <c r="C15" s="49" t="n"/>
      <c r="D15" s="49" t="n"/>
      <c r="E15" s="49" t="n">
        <v>2</v>
      </c>
      <c r="F15" s="49" t="n"/>
      <c r="G15" s="49" t="n"/>
      <c r="H15" s="49" t="n"/>
      <c r="I15" s="49" t="n"/>
      <c r="J15" s="49" t="n"/>
      <c r="K15" s="1" t="n"/>
    </row>
    <row r="16">
      <c r="A16" s="57" t="inlineStr">
        <is>
          <t xml:space="preserve">  Changes in accrued income taxes</t>
        </is>
      </c>
      <c r="B16" s="46" t="n"/>
      <c r="C16" s="49" t="n"/>
      <c r="D16" s="49" t="n"/>
      <c r="E16" s="49" t="n">
        <v>1</v>
      </c>
      <c r="F16" s="49" t="n"/>
      <c r="G16" s="49" t="n"/>
      <c r="H16" s="49" t="n"/>
      <c r="I16" s="49" t="n"/>
      <c r="J16" s="49" t="n"/>
      <c r="K16" s="1" t="n"/>
    </row>
    <row r="17">
      <c r="A17" s="52" t="inlineStr">
        <is>
          <t>Net changes in working capital</t>
        </is>
      </c>
      <c r="B17" s="4" t="n"/>
      <c r="C17" s="49" t="n"/>
      <c r="D17" s="49" t="n"/>
      <c r="E17" s="49" t="n">
        <v>-2</v>
      </c>
      <c r="F17" s="49" t="n"/>
      <c r="G17" s="49" t="n"/>
      <c r="H17" s="49" t="n"/>
      <c r="I17" s="49" t="n"/>
      <c r="J17" s="49" t="n"/>
      <c r="K17" s="1" t="n"/>
    </row>
    <row r="18">
      <c r="A18" s="37" t="inlineStr">
        <is>
          <t>Total Cash from Operating Activities</t>
        </is>
      </c>
      <c r="B18" s="2" t="n"/>
      <c r="C18" s="49" t="n"/>
      <c r="D18" s="49" t="n"/>
      <c r="E18" s="49" t="n">
        <v>384</v>
      </c>
      <c r="F18" s="49" t="n"/>
      <c r="G18" s="49" t="n"/>
      <c r="H18" s="49" t="n"/>
      <c r="I18" s="49" t="n"/>
      <c r="J18" s="49" t="n"/>
      <c r="K18" s="1" t="n"/>
    </row>
    <row r="19">
      <c r="A19" s="10" t="inlineStr">
        <is>
          <t>Free Cash Flow  (CFO − CAPEX)</t>
        </is>
      </c>
      <c r="B19" s="11" t="n"/>
      <c r="C19" s="49" t="n"/>
      <c r="D19" s="49" t="n"/>
      <c r="E19" s="49" t="n"/>
      <c r="F19" s="49" t="n"/>
      <c r="G19" s="49" t="n"/>
      <c r="H19" s="49" t="n"/>
      <c r="I19" s="49" t="n"/>
      <c r="J19" s="49" t="n"/>
      <c r="K19" s="1" t="n"/>
    </row>
    <row r="20" ht="16.05" customHeight="1">
      <c r="A20" s="78" t="n"/>
      <c r="B20" s="79" t="n"/>
      <c r="C20" s="79" t="n"/>
      <c r="D20" s="79" t="n"/>
      <c r="E20" s="79" t="n"/>
      <c r="F20" s="79" t="n"/>
      <c r="G20" s="79" t="n"/>
      <c r="H20" s="79" t="n"/>
      <c r="I20" s="79" t="n"/>
      <c r="J20" s="80" t="n"/>
      <c r="K20" s="44" t="n"/>
      <c r="L20" s="44" t="n"/>
    </row>
    <row r="21" ht="16.05" customHeight="1">
      <c r="A21" s="78" t="inlineStr">
        <is>
          <t>CASH FROM INVESTING ACTIVITIES</t>
        </is>
      </c>
      <c r="L21" s="44" t="n"/>
    </row>
    <row r="22">
      <c r="A22" s="53" t="inlineStr">
        <is>
          <t>Capital expenditures (CAPEX)</t>
        </is>
      </c>
      <c r="B22" s="46" t="n"/>
      <c r="C22" s="49" t="n"/>
      <c r="D22" s="49" t="n"/>
      <c r="E22" s="49" t="n">
        <v>-60</v>
      </c>
      <c r="F22" s="49" t="n"/>
      <c r="G22" s="49" t="n"/>
      <c r="H22" s="49" t="n"/>
      <c r="I22" s="49" t="n"/>
      <c r="J22" s="49" t="n"/>
      <c r="K22" s="1" t="n"/>
    </row>
    <row r="23">
      <c r="A23" s="19" t="inlineStr">
        <is>
          <t>Investments &amp; business acquisitions</t>
        </is>
      </c>
      <c r="B23" s="46" t="n"/>
      <c r="C23" s="49" t="n"/>
      <c r="D23" s="49" t="n"/>
      <c r="E23" s="49" t="n"/>
      <c r="F23" s="49" t="n"/>
      <c r="G23" s="49" t="n"/>
      <c r="H23" s="49" t="n"/>
      <c r="I23" s="49" t="n"/>
      <c r="J23" s="49" t="n"/>
      <c r="K23" s="1" t="n"/>
    </row>
    <row r="24">
      <c r="A24" s="37" t="inlineStr">
        <is>
          <t>Total Cash from Investing Activities</t>
        </is>
      </c>
      <c r="B24" s="2" t="n"/>
      <c r="C24" s="49" t="n"/>
      <c r="D24" s="49" t="n"/>
      <c r="E24" s="49" t="n">
        <v>-60</v>
      </c>
      <c r="F24" s="49" t="n"/>
      <c r="G24" s="49" t="n"/>
      <c r="H24" s="49" t="n"/>
      <c r="I24" s="49" t="n"/>
      <c r="J24" s="49" t="n"/>
      <c r="K24" s="1" t="n"/>
    </row>
    <row r="25" ht="16.05" customHeight="1">
      <c r="A25" s="78" t="n"/>
      <c r="B25" s="79" t="n"/>
      <c r="C25" s="79" t="n"/>
      <c r="D25" s="79" t="n"/>
      <c r="E25" s="79" t="n"/>
      <c r="F25" s="79" t="n"/>
      <c r="G25" s="79" t="n"/>
      <c r="H25" s="79" t="n"/>
      <c r="I25" s="79" t="n"/>
      <c r="J25" s="80" t="n"/>
      <c r="K25" s="44" t="n"/>
      <c r="L25" s="44" t="n"/>
    </row>
    <row r="26" ht="16.05" customHeight="1">
      <c r="A26" s="78" t="inlineStr">
        <is>
          <t>CASH FROM FINANCING ACTIVITIES</t>
        </is>
      </c>
      <c r="L26" s="44" t="n"/>
    </row>
    <row r="27">
      <c r="A27" s="53" t="inlineStr">
        <is>
          <t>Short-term borrowings net change</t>
        </is>
      </c>
      <c r="B27" s="46" t="n"/>
      <c r="C27" s="49" t="n"/>
      <c r="D27" s="49" t="n"/>
      <c r="E27" s="49" t="n">
        <v>5</v>
      </c>
      <c r="F27" s="49" t="n"/>
      <c r="G27" s="49" t="n"/>
      <c r="H27" s="49" t="n"/>
      <c r="I27" s="49" t="n"/>
      <c r="J27" s="49" t="n"/>
      <c r="K27" s="1" t="n"/>
    </row>
    <row r="28">
      <c r="A28" s="53" t="inlineStr">
        <is>
          <t>Long-term borrowings net change</t>
        </is>
      </c>
      <c r="B28" s="46" t="n"/>
      <c r="C28" s="49" t="n"/>
      <c r="D28" s="49" t="n"/>
      <c r="E28" s="49" t="n">
        <v>10</v>
      </c>
      <c r="F28" s="49" t="n"/>
      <c r="G28" s="49" t="n"/>
      <c r="H28" s="49" t="n"/>
      <c r="I28" s="49" t="n"/>
      <c r="J28" s="49" t="n"/>
      <c r="K28" s="1" t="n"/>
    </row>
    <row r="29">
      <c r="A29" s="53" t="inlineStr">
        <is>
          <t>Dividends paid</t>
        </is>
      </c>
      <c r="B29" s="46" t="n"/>
      <c r="C29" s="49" t="n"/>
      <c r="D29" s="49" t="n"/>
      <c r="E29" s="49" t="n">
        <v>-50</v>
      </c>
      <c r="F29" s="49" t="n"/>
      <c r="G29" s="49" t="n"/>
      <c r="H29" s="49" t="n"/>
      <c r="I29" s="49" t="n"/>
      <c r="J29" s="49" t="n"/>
      <c r="K29" s="1" t="n"/>
    </row>
    <row r="30">
      <c r="A30" s="19" t="inlineStr">
        <is>
          <t>Share issuance / (buyback)</t>
        </is>
      </c>
      <c r="B30" s="46" t="n"/>
      <c r="C30" s="49" t="n"/>
      <c r="D30" s="49" t="n"/>
      <c r="E30" s="49" t="n"/>
      <c r="F30" s="49" t="n">
        <v>0.02</v>
      </c>
      <c r="G30" s="49" t="n">
        <v>0.02</v>
      </c>
      <c r="H30" s="49" t="n">
        <v>0.02</v>
      </c>
      <c r="I30" s="49" t="n">
        <v>0.02</v>
      </c>
      <c r="J30" s="49" t="n">
        <v>0.02</v>
      </c>
      <c r="K30" s="1" t="n"/>
    </row>
    <row r="31" ht="15" customHeight="1" thickBot="1">
      <c r="A31" s="37" t="inlineStr">
        <is>
          <t>Total Cash from Financing Activities</t>
        </is>
      </c>
      <c r="B31" s="2" t="n"/>
      <c r="C31" s="7" t="n"/>
      <c r="D31" s="7" t="n"/>
      <c r="E31" s="7" t="n">
        <v>-35</v>
      </c>
      <c r="F31" s="7" t="n"/>
      <c r="G31" s="7" t="n"/>
      <c r="H31" s="7" t="n"/>
      <c r="I31" s="7" t="n"/>
      <c r="J31" s="7" t="n"/>
      <c r="K31" s="1" t="n"/>
    </row>
    <row r="32"/>
    <row r="33" ht="15" customHeight="1" thickBot="1">
      <c r="A33" s="12" t="inlineStr">
        <is>
          <t>Net Change in Cash</t>
        </is>
      </c>
      <c r="B33" s="5" t="n"/>
      <c r="C33" s="13" t="n"/>
      <c r="D33" s="13" t="n"/>
      <c r="E33" s="13" t="n">
        <v>289</v>
      </c>
      <c r="F33" s="13" t="n"/>
      <c r="G33" s="13" t="n"/>
      <c r="H33" s="13" t="n"/>
      <c r="I33" s="13" t="n"/>
      <c r="J33" s="13" t="n"/>
      <c r="K33" s="1" t="n"/>
    </row>
    <row r="34" ht="15" customHeight="1" thickBot="1">
      <c r="A34" s="38" t="inlineStr">
        <is>
          <t>Closing Cash Balance ($mm)</t>
        </is>
      </c>
      <c r="B34" s="63" t="n"/>
      <c r="C34" s="40" t="n"/>
      <c r="D34" s="40" t="n"/>
      <c r="E34" s="40" t="n">
        <v>439</v>
      </c>
      <c r="F34" s="40" t="n"/>
      <c r="G34" s="40" t="n"/>
      <c r="H34" s="40" t="n"/>
      <c r="I34" s="40" t="n"/>
      <c r="J34" s="40" t="n"/>
      <c r="K34" s="1" t="n"/>
    </row>
    <row r="35"/>
    <row r="36" ht="6" customHeight="1"/>
    <row r="37" ht="16.05" customHeight="1">
      <c r="A37" s="75" t="inlineStr">
        <is>
          <t>COLOR LEGEND</t>
        </is>
      </c>
      <c r="L37" s="42" t="n"/>
    </row>
    <row r="38">
      <c r="A38" s="25" t="inlineStr">
        <is>
          <t>Blue = Hardcoded input</t>
        </is>
      </c>
      <c r="B38" s="46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1" t="n"/>
    </row>
    <row r="39">
      <c r="A39" s="26" t="inlineStr">
        <is>
          <t>Black = Formula / calculated</t>
        </is>
      </c>
      <c r="B39" s="46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1" t="n"/>
    </row>
    <row r="40">
      <c r="A40" s="27" t="inlineStr">
        <is>
          <t>Green = Cross-sheet link</t>
        </is>
      </c>
      <c r="B40" s="46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1" t="n"/>
    </row>
  </sheetData>
  <mergeCells count="4">
    <mergeCell ref="A5:J5"/>
    <mergeCell ref="A25:J25"/>
    <mergeCell ref="A20:J20"/>
    <mergeCell ref="A10:J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1D9E75"/>
    <outlinePr summaryBelow="1" summaryRight="1"/>
    <pageSetUpPr/>
  </sheetPr>
  <dimension ref="A1:K29"/>
  <sheetViews>
    <sheetView showGridLines="0" workbookViewId="0">
      <pane xSplit="1" ySplit="2" topLeftCell="B6" activePane="bottomRight" state="frozen"/>
      <selection pane="topRight" activeCell="A1" sqref="A1"/>
      <selection pane="bottomLeft" activeCell="A1" sqref="A1"/>
      <selection pane="bottomRight" activeCell="D29" sqref="D29"/>
    </sheetView>
  </sheetViews>
  <sheetFormatPr baseColWidth="8" defaultRowHeight="14.4"/>
  <cols>
    <col width="44" customWidth="1" min="1" max="1"/>
    <col width="13" customWidth="1" min="2" max="9"/>
    <col width="4" customWidth="1" min="10" max="10"/>
  </cols>
  <sheetData>
    <row r="1" ht="16.05" customHeight="1">
      <c r="A1" s="75" t="inlineStr">
        <is>
          <t>OPERATING WORKING CAPITAL SCHEDULE  ($mm)</t>
        </is>
      </c>
      <c r="K1" s="42" t="n"/>
    </row>
    <row r="2" ht="18" customHeight="1">
      <c r="A2" s="42" t="n"/>
      <c r="B2" s="65" t="inlineStr">
        <is>
          <t>2022A</t>
        </is>
      </c>
      <c r="C2" s="65" t="inlineStr">
        <is>
          <t>2023A</t>
        </is>
      </c>
      <c r="D2" s="65" t="inlineStr">
        <is>
          <t>2024A</t>
        </is>
      </c>
      <c r="E2" s="64" t="inlineStr">
        <is>
          <t>2025P</t>
        </is>
      </c>
      <c r="F2" s="64" t="inlineStr">
        <is>
          <t>2026P</t>
        </is>
      </c>
      <c r="G2" s="64" t="inlineStr">
        <is>
          <t>2027P</t>
        </is>
      </c>
      <c r="H2" s="64" t="inlineStr">
        <is>
          <t>2028P</t>
        </is>
      </c>
      <c r="I2" s="64" t="inlineStr">
        <is>
          <t>2029P</t>
        </is>
      </c>
      <c r="J2" s="1" t="n"/>
    </row>
    <row r="3" ht="16.05" customHeight="1">
      <c r="A3" s="78" t="inlineStr">
        <is>
          <t>Receivables, net</t>
        </is>
      </c>
      <c r="B3" s="79" t="n"/>
      <c r="C3" s="79" t="n"/>
      <c r="D3" s="79" t="n"/>
      <c r="E3" s="79" t="n"/>
      <c r="F3" s="79" t="n"/>
      <c r="G3" s="79" t="n"/>
      <c r="H3" s="79" t="n"/>
      <c r="I3" s="80" t="n"/>
      <c r="J3" s="44" t="n"/>
      <c r="K3" s="44" t="n"/>
    </row>
    <row r="4">
      <c r="A4" s="45" t="inlineStr">
        <is>
          <t xml:space="preserve">  Balance ($mm)</t>
        </is>
      </c>
      <c r="B4" s="49" t="n"/>
      <c r="C4" s="49" t="n"/>
      <c r="D4" s="68" t="n">
        <v>95</v>
      </c>
      <c r="E4" s="49" t="n"/>
      <c r="F4" s="49" t="n"/>
      <c r="G4" s="49" t="n"/>
      <c r="H4" s="49" t="n"/>
      <c r="I4" s="49" t="n"/>
      <c r="J4" s="1" t="n"/>
    </row>
    <row r="5">
      <c r="A5" s="19" t="inlineStr">
        <is>
          <t xml:space="preserve">  Days receivables (DSO)</t>
        </is>
      </c>
      <c r="B5" s="49" t="n"/>
      <c r="C5" s="49" t="n"/>
      <c r="D5" s="68" t="n">
        <v>34</v>
      </c>
      <c r="E5" s="49" t="n"/>
      <c r="F5" s="49" t="n"/>
      <c r="G5" s="49" t="n"/>
      <c r="H5" s="49" t="n"/>
      <c r="I5" s="49" t="n"/>
      <c r="J5" s="1" t="n"/>
    </row>
    <row r="7" ht="16.05" customHeight="1">
      <c r="A7" s="78" t="inlineStr">
        <is>
          <t>Inventories</t>
        </is>
      </c>
      <c r="B7" s="79" t="n"/>
      <c r="C7" s="79" t="n"/>
      <c r="D7" s="79" t="n"/>
      <c r="E7" s="79" t="n"/>
      <c r="F7" s="79" t="n"/>
      <c r="G7" s="79" t="n"/>
      <c r="H7" s="79" t="n"/>
      <c r="I7" s="80" t="n"/>
      <c r="J7" s="44" t="n"/>
      <c r="K7" s="44" t="n"/>
    </row>
    <row r="8">
      <c r="A8" s="45" t="inlineStr">
        <is>
          <t xml:space="preserve">  Balance ($mm)</t>
        </is>
      </c>
      <c r="B8" s="49" t="n"/>
      <c r="C8" s="49" t="n"/>
      <c r="D8" s="49" t="n">
        <v>70</v>
      </c>
      <c r="E8" s="49" t="n"/>
      <c r="F8" s="49" t="n"/>
      <c r="G8" s="49" t="n"/>
      <c r="H8" s="49" t="n"/>
      <c r="I8" s="49" t="n"/>
      <c r="J8" s="1" t="n"/>
    </row>
    <row r="9">
      <c r="A9" s="19" t="inlineStr">
        <is>
          <t xml:space="preserve">  Inventory turnover days (DIO)</t>
        </is>
      </c>
      <c r="B9" s="49" t="n"/>
      <c r="C9" s="49" t="n"/>
      <c r="D9" s="49" t="n">
        <v>48</v>
      </c>
      <c r="E9" s="49" t="n"/>
      <c r="F9" s="49" t="n"/>
      <c r="G9" s="49" t="n"/>
      <c r="H9" s="49" t="n"/>
      <c r="I9" s="49" t="n"/>
      <c r="J9" s="1" t="n"/>
    </row>
    <row r="11" ht="16.05" customHeight="1">
      <c r="A11" s="78" t="inlineStr">
        <is>
          <t>Prepaid expenses and other</t>
        </is>
      </c>
      <c r="B11" s="79" t="n"/>
      <c r="C11" s="79" t="n"/>
      <c r="D11" s="79" t="n"/>
      <c r="E11" s="79" t="n"/>
      <c r="F11" s="79" t="n"/>
      <c r="G11" s="79" t="n"/>
      <c r="H11" s="79" t="n"/>
      <c r="I11" s="80" t="n"/>
      <c r="J11" s="44" t="n"/>
      <c r="K11" s="44" t="n"/>
    </row>
    <row r="12">
      <c r="A12" s="45" t="inlineStr">
        <is>
          <t xml:space="preserve">  Balance ($mm)</t>
        </is>
      </c>
      <c r="B12" s="49" t="n"/>
      <c r="C12" s="49" t="n"/>
      <c r="D12" s="49" t="n">
        <v>25</v>
      </c>
      <c r="E12" s="49" t="n"/>
      <c r="F12" s="49" t="n"/>
      <c r="G12" s="49" t="n"/>
      <c r="H12" s="49" t="n"/>
      <c r="I12" s="49" t="n"/>
      <c r="J12" s="1" t="n"/>
    </row>
    <row r="13">
      <c r="A13" s="19" t="inlineStr">
        <is>
          <t xml:space="preserve">  Days prepaid</t>
        </is>
      </c>
      <c r="B13" s="49" t="n"/>
      <c r="C13" s="49" t="n"/>
      <c r="D13" s="49" t="n">
        <v>11</v>
      </c>
      <c r="E13" s="49" t="n"/>
      <c r="F13" s="49" t="n"/>
      <c r="G13" s="49" t="n"/>
      <c r="H13" s="49" t="n"/>
      <c r="I13" s="49" t="n"/>
      <c r="J13" s="1" t="n"/>
    </row>
    <row r="15" ht="16.05" customHeight="1">
      <c r="A15" s="78" t="inlineStr">
        <is>
          <t>Accounts payable</t>
        </is>
      </c>
      <c r="B15" s="79" t="n"/>
      <c r="C15" s="79" t="n"/>
      <c r="D15" s="79" t="n"/>
      <c r="E15" s="79" t="n"/>
      <c r="F15" s="79" t="n"/>
      <c r="G15" s="79" t="n"/>
      <c r="H15" s="79" t="n"/>
      <c r="I15" s="80" t="n"/>
      <c r="J15" s="44" t="n"/>
      <c r="K15" s="44" t="n"/>
    </row>
    <row r="16">
      <c r="A16" s="45" t="inlineStr">
        <is>
          <t xml:space="preserve">  Balance ($mm)</t>
        </is>
      </c>
      <c r="B16" s="49" t="n"/>
      <c r="C16" s="49" t="n"/>
      <c r="D16" s="49" t="n">
        <v>65</v>
      </c>
      <c r="E16" s="49" t="n"/>
      <c r="F16" s="49" t="n"/>
      <c r="G16" s="49" t="n"/>
      <c r="H16" s="49" t="n"/>
      <c r="I16" s="49" t="n"/>
      <c r="J16" s="1" t="n"/>
    </row>
    <row r="17">
      <c r="A17" s="19" t="inlineStr">
        <is>
          <t xml:space="preserve">  Days payable — AP (DPO, on COGS)</t>
        </is>
      </c>
      <c r="B17" s="49" t="n"/>
      <c r="C17" s="49" t="n"/>
      <c r="D17" s="49" t="n">
        <v>63</v>
      </c>
      <c r="E17" s="49" t="n"/>
      <c r="F17" s="49" t="n"/>
      <c r="G17" s="49" t="n"/>
      <c r="H17" s="49" t="n"/>
      <c r="I17" s="49" t="n"/>
      <c r="J17" s="1" t="n"/>
    </row>
    <row r="19" ht="16.05" customHeight="1">
      <c r="A19" s="78" t="inlineStr">
        <is>
          <t>Accrued liabilities</t>
        </is>
      </c>
      <c r="B19" s="79" t="n"/>
      <c r="C19" s="79" t="n"/>
      <c r="D19" s="79" t="n"/>
      <c r="E19" s="79" t="n"/>
      <c r="F19" s="79" t="n"/>
      <c r="G19" s="79" t="n"/>
      <c r="H19" s="79" t="n"/>
      <c r="I19" s="80" t="n"/>
      <c r="J19" s="44" t="n"/>
      <c r="K19" s="44" t="n"/>
    </row>
    <row r="20">
      <c r="A20" s="45" t="inlineStr">
        <is>
          <t xml:space="preserve">  Balance ($mm)</t>
        </is>
      </c>
      <c r="B20" s="49" t="n"/>
      <c r="C20" s="49" t="n"/>
      <c r="D20" s="49" t="n">
        <v>28</v>
      </c>
      <c r="E20" s="49" t="n"/>
      <c r="F20" s="49" t="n"/>
      <c r="G20" s="49" t="n"/>
      <c r="H20" s="49" t="n"/>
      <c r="I20" s="49" t="n"/>
      <c r="J20" s="1" t="n"/>
    </row>
    <row r="21">
      <c r="A21" s="19" t="inlineStr">
        <is>
          <t xml:space="preserve">  Days payable — Accrued liab</t>
        </is>
      </c>
      <c r="B21" s="49" t="n"/>
      <c r="C21" s="49" t="n"/>
      <c r="D21" s="49" t="n">
        <v>23</v>
      </c>
      <c r="E21" s="49" t="n"/>
      <c r="F21" s="49" t="n"/>
      <c r="G21" s="49" t="n"/>
      <c r="H21" s="49" t="n"/>
      <c r="I21" s="49" t="n"/>
      <c r="J21" s="1" t="n"/>
    </row>
    <row r="23" ht="16.05" customHeight="1">
      <c r="A23" s="78" t="inlineStr">
        <is>
          <t>Accrued income taxes</t>
        </is>
      </c>
      <c r="B23" s="79" t="n"/>
      <c r="C23" s="79" t="n"/>
      <c r="D23" s="79" t="n"/>
      <c r="E23" s="79" t="n"/>
      <c r="F23" s="79" t="n"/>
      <c r="G23" s="79" t="n"/>
      <c r="H23" s="79" t="n"/>
      <c r="I23" s="80" t="n"/>
      <c r="J23" s="44" t="n"/>
      <c r="K23" s="44" t="n"/>
    </row>
    <row r="24">
      <c r="A24" s="45" t="inlineStr">
        <is>
          <t xml:space="preserve">  Balance ($mm)</t>
        </is>
      </c>
      <c r="B24" s="49" t="n"/>
      <c r="C24" s="49" t="n"/>
      <c r="D24" s="49" t="n">
        <v>13</v>
      </c>
      <c r="E24" s="49" t="n"/>
      <c r="F24" s="49" t="n"/>
      <c r="G24" s="49" t="n"/>
      <c r="H24" s="49" t="n"/>
      <c r="I24" s="49" t="n"/>
      <c r="J24" s="1" t="n"/>
    </row>
    <row r="25">
      <c r="A25" s="19" t="inlineStr">
        <is>
          <t xml:space="preserve">  Days payable — Accrued tax</t>
        </is>
      </c>
      <c r="B25" s="49" t="n"/>
      <c r="C25" s="49" t="n"/>
      <c r="D25" s="49" t="n">
        <v>17</v>
      </c>
      <c r="E25" s="49" t="n"/>
      <c r="F25" s="49" t="n"/>
      <c r="G25" s="49" t="n"/>
      <c r="H25" s="49" t="n"/>
      <c r="I25" s="49" t="n"/>
      <c r="J25" s="1" t="n"/>
    </row>
    <row r="27" ht="16.05" customHeight="1">
      <c r="A27" s="75" t="inlineStr">
        <is>
          <t>TOTAL OPERATING WORKING CAPITAL</t>
        </is>
      </c>
      <c r="B27" s="76" t="n"/>
      <c r="C27" s="76" t="n"/>
      <c r="D27" s="76" t="n"/>
      <c r="E27" s="76" t="n"/>
      <c r="F27" s="76" t="n"/>
      <c r="G27" s="76" t="n"/>
      <c r="H27" s="76" t="n"/>
      <c r="I27" s="77" t="n"/>
      <c r="J27" s="42" t="n"/>
      <c r="K27" s="42" t="n"/>
    </row>
    <row r="28">
      <c r="A28" s="50" t="inlineStr">
        <is>
          <t>Net Operating Working Capital ($mm)</t>
        </is>
      </c>
      <c r="B28" s="51" t="n"/>
      <c r="C28" s="51" t="n"/>
      <c r="D28" s="51" t="n">
        <v>84</v>
      </c>
      <c r="E28" s="51" t="n"/>
      <c r="F28" s="51" t="n"/>
      <c r="G28" s="51" t="n"/>
      <c r="H28" s="51" t="n"/>
      <c r="I28" s="51" t="n"/>
      <c r="J28" s="1" t="n"/>
    </row>
    <row r="29">
      <c r="A29" s="59" t="inlineStr">
        <is>
          <t>Change in OWC ($mm)</t>
        </is>
      </c>
      <c r="B29" s="49" t="n"/>
      <c r="C29" s="49" t="n"/>
      <c r="D29" s="49" t="n"/>
      <c r="E29" s="49" t="n"/>
      <c r="F29" s="49" t="n"/>
      <c r="G29" s="49" t="n"/>
      <c r="H29" s="49" t="n"/>
      <c r="I29" s="49" t="n"/>
      <c r="J29" s="1" t="n"/>
    </row>
  </sheetData>
  <mergeCells count="7">
    <mergeCell ref="A15:I15"/>
    <mergeCell ref="A7:I7"/>
    <mergeCell ref="A19:I19"/>
    <mergeCell ref="A11:I11"/>
    <mergeCell ref="A23:I23"/>
    <mergeCell ref="A27:I27"/>
    <mergeCell ref="A3: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E480E"/>
    <outlinePr summaryBelow="1" summaryRight="1"/>
    <pageSetUpPr/>
  </sheetPr>
  <dimension ref="A1:K1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D8" sqref="D8"/>
    </sheetView>
  </sheetViews>
  <sheetFormatPr baseColWidth="8" defaultRowHeight="14.4"/>
  <cols>
    <col width="44" customWidth="1" min="1" max="1"/>
    <col width="13" customWidth="1" min="2" max="9"/>
    <col width="4" customWidth="1" min="10" max="10"/>
  </cols>
  <sheetData>
    <row r="1" ht="16.05" customHeight="1">
      <c r="A1" s="75" t="inlineStr">
        <is>
          <t>DEPRECIATION SCHEDULE  ($mm)</t>
        </is>
      </c>
      <c r="K1" s="42" t="n"/>
    </row>
    <row r="2" ht="18" customHeight="1">
      <c r="A2" s="42" t="n"/>
      <c r="B2" s="65" t="inlineStr">
        <is>
          <t>2022A</t>
        </is>
      </c>
      <c r="C2" s="65" t="inlineStr">
        <is>
          <t>2023A</t>
        </is>
      </c>
      <c r="D2" s="65" t="inlineStr">
        <is>
          <t>2024A</t>
        </is>
      </c>
      <c r="E2" s="64" t="inlineStr">
        <is>
          <t>2025P</t>
        </is>
      </c>
      <c r="F2" s="64" t="inlineStr">
        <is>
          <t>2026P</t>
        </is>
      </c>
      <c r="G2" s="64" t="inlineStr">
        <is>
          <t>2027P</t>
        </is>
      </c>
      <c r="H2" s="64" t="inlineStr">
        <is>
          <t>2028P</t>
        </is>
      </c>
      <c r="I2" s="64" t="inlineStr">
        <is>
          <t>2029P</t>
        </is>
      </c>
      <c r="J2" s="1" t="n"/>
    </row>
    <row r="3" ht="16.05" customHeight="1">
      <c r="A3" s="78" t="inlineStr">
        <is>
          <t>PP&amp;E ROLL-FORWARD</t>
        </is>
      </c>
      <c r="B3" s="79" t="n"/>
      <c r="C3" s="79" t="n"/>
      <c r="D3" s="79" t="n"/>
      <c r="E3" s="79" t="n"/>
      <c r="F3" s="79" t="n"/>
      <c r="G3" s="79" t="n"/>
      <c r="H3" s="79" t="n"/>
      <c r="I3" s="80" t="n"/>
      <c r="J3" s="44" t="n"/>
      <c r="K3" s="44" t="n"/>
    </row>
    <row r="4">
      <c r="A4" s="53" t="inlineStr">
        <is>
          <t>PP&amp;E, net (beginning of year)</t>
        </is>
      </c>
      <c r="B4" s="49" t="n"/>
      <c r="C4" s="49" t="n"/>
      <c r="D4" s="49" t="n">
        <v>520</v>
      </c>
      <c r="E4" s="49" t="n"/>
      <c r="F4" s="49" t="n"/>
      <c r="G4" s="49" t="n"/>
      <c r="H4" s="49" t="n"/>
      <c r="I4" s="49" t="n"/>
      <c r="J4" s="1" t="n"/>
    </row>
    <row r="5">
      <c r="A5" s="53" t="inlineStr">
        <is>
          <t>Capital expenditures (CAPEX)</t>
        </is>
      </c>
      <c r="B5" s="49" t="n"/>
      <c r="C5" s="49" t="n"/>
      <c r="D5" s="49" t="n">
        <v>60</v>
      </c>
      <c r="E5" s="49" t="n"/>
      <c r="F5" s="49" t="n"/>
      <c r="G5" s="49" t="n"/>
      <c r="H5" s="49" t="n"/>
      <c r="I5" s="49" t="n"/>
      <c r="J5" s="1" t="n"/>
    </row>
    <row r="6">
      <c r="A6" s="45" t="inlineStr">
        <is>
          <t>Less: depreciation</t>
        </is>
      </c>
      <c r="B6" s="49" t="n"/>
      <c r="C6" s="49" t="n"/>
      <c r="D6" s="49" t="n"/>
      <c r="E6" s="49" t="n"/>
      <c r="F6" s="49" t="n"/>
      <c r="G6" s="49" t="n"/>
      <c r="H6" s="49" t="n"/>
      <c r="I6" s="49" t="n"/>
      <c r="J6" s="1" t="n"/>
    </row>
    <row r="7">
      <c r="A7" s="60" t="inlineStr">
        <is>
          <t xml:space="preserve">  Useful life — PP&amp;E (yrs)</t>
        </is>
      </c>
      <c r="B7" s="49" t="n"/>
      <c r="C7" s="49" t="n"/>
      <c r="D7" s="49" t="n">
        <v>12</v>
      </c>
      <c r="E7" s="49" t="n"/>
      <c r="F7" s="49" t="n"/>
      <c r="G7" s="49" t="n"/>
      <c r="H7" s="49" t="n"/>
      <c r="I7" s="49" t="n"/>
      <c r="J7" s="1" t="n"/>
    </row>
    <row r="8">
      <c r="A8" s="60" t="inlineStr">
        <is>
          <t xml:space="preserve">  Useful life — CAPEX (yrs)</t>
        </is>
      </c>
      <c r="B8" s="49" t="n"/>
      <c r="C8" s="49" t="n"/>
      <c r="D8" s="49" t="n">
        <v>12</v>
      </c>
      <c r="E8" s="49" t="n"/>
      <c r="F8" s="49" t="n"/>
      <c r="G8" s="49" t="n"/>
      <c r="H8" s="49" t="n"/>
      <c r="I8" s="49" t="n"/>
      <c r="J8" s="1" t="n"/>
    </row>
    <row r="9" ht="16.05" customHeight="1">
      <c r="A9" s="75" t="inlineStr">
        <is>
          <t>DEPRECIATION METHOD (set in Assumptions: 'SL' or 'DB')</t>
        </is>
      </c>
      <c r="B9" s="76" t="n"/>
      <c r="C9" s="76" t="n"/>
      <c r="D9" s="76" t="n"/>
      <c r="E9" s="76" t="n"/>
      <c r="F9" s="76" t="n"/>
      <c r="G9" s="76" t="n"/>
      <c r="H9" s="76" t="n"/>
      <c r="I9" s="77" t="n"/>
      <c r="J9" s="42" t="n"/>
      <c r="K9" s="42" t="n"/>
    </row>
    <row r="10">
      <c r="A10" s="33" t="inlineStr">
        <is>
          <t xml:space="preserve">  SL — Depreciation on existing PP&amp;E</t>
        </is>
      </c>
      <c r="B10" s="58" t="n"/>
      <c r="C10" s="58" t="n"/>
      <c r="D10" s="34" t="n"/>
      <c r="E10" s="34" t="n"/>
      <c r="F10" s="34" t="n"/>
      <c r="G10" s="34" t="n"/>
      <c r="H10" s="34" t="n"/>
      <c r="I10" s="34" t="n"/>
      <c r="J10" s="1" t="n"/>
    </row>
    <row r="11">
      <c r="A11" s="33" t="inlineStr">
        <is>
          <t xml:space="preserve">  SL — Depreciation on new CAPEX</t>
        </is>
      </c>
      <c r="B11" s="58" t="n"/>
      <c r="C11" s="58" t="n"/>
      <c r="D11" s="34" t="n"/>
      <c r="E11" s="34" t="n"/>
      <c r="F11" s="34" t="n"/>
      <c r="G11" s="34" t="n"/>
      <c r="H11" s="34" t="n"/>
      <c r="I11" s="34" t="n"/>
      <c r="J11" s="1" t="n"/>
    </row>
    <row r="12">
      <c r="A12" s="35" t="inlineStr">
        <is>
          <t xml:space="preserve">  DB — Depreciation on existing PP&amp;E (Opening NBV × DB Rate)</t>
        </is>
      </c>
      <c r="B12" s="61" t="n"/>
      <c r="C12" s="61" t="n"/>
      <c r="D12" s="36" t="n"/>
      <c r="E12" s="36" t="n"/>
      <c r="F12" s="36" t="n"/>
      <c r="G12" s="36" t="n"/>
      <c r="H12" s="36" t="n"/>
      <c r="I12" s="36" t="n"/>
      <c r="J12" s="1" t="n"/>
    </row>
    <row r="13">
      <c r="A13" s="35" t="inlineStr">
        <is>
          <t xml:space="preserve">  DB — Depreciation on new CAPEX (CAPEX × DB Rate)</t>
        </is>
      </c>
      <c r="B13" s="61" t="n"/>
      <c r="C13" s="61" t="n"/>
      <c r="D13" s="36" t="n"/>
      <c r="E13" s="36" t="n"/>
      <c r="F13" s="36" t="n"/>
      <c r="G13" s="36" t="n"/>
      <c r="H13" s="36" t="n"/>
      <c r="I13" s="36" t="n"/>
      <c r="J13" s="1" t="n"/>
    </row>
    <row r="14">
      <c r="A14" s="12" t="inlineStr">
        <is>
          <t>Total Book Depreciation ($mm)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" t="n"/>
    </row>
    <row r="15" ht="16.05" customHeight="1">
      <c r="A15" s="38" t="inlineStr">
        <is>
          <t>PP&amp;E, net (end of year) ($mm)</t>
        </is>
      </c>
      <c r="B15" s="40" t="n"/>
      <c r="C15" s="40" t="n"/>
      <c r="D15" s="40" t="n"/>
      <c r="E15" s="40" t="n"/>
      <c r="F15" s="40" t="n"/>
      <c r="G15" s="40" t="n"/>
      <c r="H15" s="40" t="n"/>
      <c r="I15" s="40" t="n"/>
      <c r="K15" s="42" t="n"/>
    </row>
    <row r="16">
      <c r="A16" s="17" t="inlineStr">
        <is>
          <t>Deferred Tax from Depreciation ($mm)</t>
        </is>
      </c>
      <c r="B16" s="54" t="n"/>
      <c r="C16" s="54" t="n"/>
      <c r="D16" s="29" t="n"/>
      <c r="E16" s="29" t="n"/>
      <c r="F16" s="29" t="n"/>
      <c r="G16" s="29" t="n"/>
      <c r="H16" s="29" t="n"/>
      <c r="I16" s="29" t="n"/>
      <c r="J16" s="1" t="n"/>
    </row>
  </sheetData>
  <mergeCells count="2">
    <mergeCell ref="A9:I9"/>
    <mergeCell ref="A3:I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C55A11"/>
    <outlinePr summaryBelow="1" summaryRight="1"/>
    <pageSetUpPr/>
  </sheetPr>
  <dimension ref="A1:K19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D21" sqref="D21"/>
    </sheetView>
  </sheetViews>
  <sheetFormatPr baseColWidth="8" defaultRowHeight="14.4"/>
  <cols>
    <col width="44" customWidth="1" min="1" max="1"/>
    <col width="13" customWidth="1" min="2" max="9"/>
    <col width="4" customWidth="1" min="10" max="10"/>
  </cols>
  <sheetData>
    <row r="1" ht="16.05" customHeight="1">
      <c r="A1" s="75" t="inlineStr">
        <is>
          <t>DEBT SCHEDULE  ($mm)</t>
        </is>
      </c>
      <c r="K1" s="42" t="n"/>
    </row>
    <row r="2" ht="18" customHeight="1">
      <c r="A2" s="42" t="n"/>
      <c r="B2" s="65" t="inlineStr">
        <is>
          <t>2022A</t>
        </is>
      </c>
      <c r="C2" s="65" t="inlineStr">
        <is>
          <t>2023A</t>
        </is>
      </c>
      <c r="D2" s="65" t="inlineStr">
        <is>
          <t>2024A</t>
        </is>
      </c>
      <c r="E2" s="64" t="inlineStr">
        <is>
          <t>2025P</t>
        </is>
      </c>
      <c r="F2" s="64" t="inlineStr">
        <is>
          <t>2026P</t>
        </is>
      </c>
      <c r="G2" s="64" t="inlineStr">
        <is>
          <t>2027P</t>
        </is>
      </c>
      <c r="H2" s="64" t="inlineStr">
        <is>
          <t>2028P</t>
        </is>
      </c>
      <c r="I2" s="64" t="inlineStr">
        <is>
          <t>2029P</t>
        </is>
      </c>
      <c r="J2" s="1" t="n"/>
    </row>
    <row r="3" ht="16.05" customHeight="1">
      <c r="A3" s="78" t="inlineStr">
        <is>
          <t>SHORT-TERM BORROWINGS</t>
        </is>
      </c>
      <c r="B3" s="79" t="n"/>
      <c r="C3" s="79" t="n"/>
      <c r="D3" s="79" t="n"/>
      <c r="E3" s="79" t="n"/>
      <c r="F3" s="79" t="n"/>
      <c r="G3" s="79" t="n"/>
      <c r="H3" s="79" t="n"/>
      <c r="I3" s="80" t="n"/>
      <c r="J3" s="44" t="n"/>
      <c r="K3" s="44" t="n"/>
    </row>
    <row r="4">
      <c r="A4" s="53" t="inlineStr">
        <is>
          <t>ST borrowings — beginning of year</t>
        </is>
      </c>
      <c r="B4" s="49" t="n"/>
      <c r="C4" s="49" t="n"/>
      <c r="D4" s="49" t="n">
        <v>50</v>
      </c>
      <c r="E4" s="49" t="n"/>
      <c r="F4" s="49" t="n"/>
      <c r="G4" s="49" t="n"/>
      <c r="H4" s="49" t="n"/>
      <c r="I4" s="49" t="n"/>
      <c r="J4" s="1" t="n"/>
    </row>
    <row r="5">
      <c r="A5" s="19" t="inlineStr">
        <is>
          <t>Mandatory issuances / (retirements)</t>
        </is>
      </c>
      <c r="B5" s="49" t="n"/>
      <c r="C5" s="49" t="n"/>
      <c r="D5" s="49" t="n"/>
      <c r="E5" s="49" t="n"/>
      <c r="F5" s="49" t="n"/>
      <c r="G5" s="49" t="n"/>
      <c r="H5" s="49" t="n"/>
      <c r="I5" s="49" t="n"/>
      <c r="J5" s="1" t="n"/>
    </row>
    <row r="6">
      <c r="A6" s="12" t="inlineStr">
        <is>
          <t>ST borrowings — end of year</t>
        </is>
      </c>
      <c r="B6" s="49" t="n"/>
      <c r="C6" s="49" t="n"/>
      <c r="D6" s="49" t="n"/>
      <c r="E6" s="49" t="n"/>
      <c r="F6" s="49" t="n"/>
      <c r="G6" s="49" t="n"/>
      <c r="H6" s="49" t="n"/>
      <c r="I6" s="49" t="n"/>
      <c r="J6" s="1" t="n"/>
    </row>
    <row r="7" ht="16.05" customHeight="1">
      <c r="A7" s="78" t="inlineStr">
        <is>
          <t>Short-term interest rate</t>
        </is>
      </c>
      <c r="D7" s="74" t="n">
        <v>0.07000000000000001</v>
      </c>
      <c r="K7" s="44" t="n"/>
    </row>
    <row r="8" ht="16.05" customHeight="1">
      <c r="A8" s="84" t="inlineStr">
        <is>
          <t>Short-term interest expense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K8" s="44" t="n"/>
    </row>
    <row r="10" ht="16.05" customHeight="1">
      <c r="A10" s="78" t="inlineStr">
        <is>
          <t>LONG-TERM DEBT</t>
        </is>
      </c>
      <c r="B10" s="79" t="n"/>
      <c r="C10" s="79" t="n"/>
      <c r="D10" s="79" t="n"/>
      <c r="E10" s="79" t="n"/>
      <c r="F10" s="79" t="n"/>
      <c r="G10" s="79" t="n"/>
      <c r="H10" s="79" t="n"/>
      <c r="I10" s="80" t="n"/>
      <c r="J10" s="44" t="n"/>
      <c r="K10" s="44" t="n"/>
    </row>
    <row r="11">
      <c r="A11" s="53" t="inlineStr">
        <is>
          <t>LT debt — beginning of year</t>
        </is>
      </c>
      <c r="B11" s="49" t="n"/>
      <c r="C11" s="49" t="n"/>
      <c r="D11" s="49" t="n">
        <v>240</v>
      </c>
      <c r="E11" s="49" t="n"/>
      <c r="F11" s="49" t="n"/>
      <c r="G11" s="49" t="n"/>
      <c r="H11" s="49" t="n"/>
      <c r="I11" s="49" t="n"/>
      <c r="J11" s="1" t="n"/>
    </row>
    <row r="12">
      <c r="A12" s="19" t="inlineStr">
        <is>
          <t>Mandatory issuances / (retirements)</t>
        </is>
      </c>
      <c r="B12" s="49" t="n"/>
      <c r="C12" s="49" t="n"/>
      <c r="D12" s="49" t="n"/>
      <c r="E12" s="49" t="n"/>
      <c r="F12" s="49" t="n"/>
      <c r="G12" s="49" t="n"/>
      <c r="H12" s="49" t="n"/>
      <c r="I12" s="49" t="n"/>
      <c r="J12" s="1" t="n"/>
    </row>
    <row r="13">
      <c r="A13" s="12" t="inlineStr">
        <is>
          <t>LT debt — end of year</t>
        </is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" t="n"/>
    </row>
    <row r="14">
      <c r="A14" s="19" t="inlineStr">
        <is>
          <t>Long-term interest rate</t>
        </is>
      </c>
      <c r="B14" s="89" t="n"/>
      <c r="C14" s="89" t="n"/>
      <c r="D14" s="89" t="n">
        <v>0.08</v>
      </c>
      <c r="E14" s="89" t="n"/>
      <c r="F14" s="89" t="n"/>
      <c r="G14" s="89" t="n"/>
      <c r="H14" s="89" t="n"/>
      <c r="I14" s="89" t="n"/>
      <c r="J14" s="1" t="n"/>
    </row>
    <row r="15">
      <c r="A15" s="84" t="inlineStr">
        <is>
          <t>Long-term interest expense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1" t="n"/>
    </row>
    <row r="17" ht="16.05" customHeight="1">
      <c r="A17" s="90" t="inlineStr">
        <is>
          <t>INTEREST INCOME ON CASH</t>
        </is>
      </c>
      <c r="B17" s="85" t="n"/>
      <c r="C17" s="85" t="n"/>
      <c r="D17" s="85" t="n"/>
      <c r="E17" s="85" t="n"/>
      <c r="F17" s="85" t="n"/>
      <c r="G17" s="85" t="n"/>
      <c r="H17" s="85" t="n"/>
      <c r="I17" s="85" t="n"/>
      <c r="J17" s="44" t="n"/>
      <c r="K17" s="44" t="n"/>
    </row>
    <row r="18">
      <c r="A18" s="19" t="inlineStr">
        <is>
          <t>Cash interest rate</t>
        </is>
      </c>
      <c r="B18" s="89" t="n"/>
      <c r="C18" s="89" t="n"/>
      <c r="D18" s="89" t="n">
        <v>0.02</v>
      </c>
      <c r="E18" s="89" t="n"/>
      <c r="F18" s="89" t="n"/>
      <c r="G18" s="89" t="n"/>
      <c r="H18" s="89" t="n"/>
      <c r="I18" s="89" t="n"/>
      <c r="J18" s="1" t="n"/>
    </row>
    <row r="19" ht="16.05" customHeight="1">
      <c r="A19" s="84" t="inlineStr">
        <is>
          <t>Interest income on cash</t>
        </is>
      </c>
      <c r="B19" s="9" t="n"/>
      <c r="C19" s="9" t="n"/>
      <c r="D19" s="9" t="n"/>
      <c r="E19" s="9" t="n"/>
      <c r="F19" s="9" t="n"/>
      <c r="G19" s="9" t="n"/>
      <c r="H19" s="9" t="n"/>
      <c r="I19" s="9" t="n"/>
      <c r="K19" s="44" t="n"/>
    </row>
  </sheetData>
  <mergeCells count="3">
    <mergeCell ref="A10:I10"/>
    <mergeCell ref="A17:I17"/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2026-03-23T09:59:39Z</dcterms:created>
  <dcterms:modified xsi:type="dcterms:W3CDTF">2026-03-28T18:56:04Z</dcterms:modified>
  <cp:lastModifiedBy>Abel Blaze</cp:lastModifiedBy>
</cp:coreProperties>
</file>