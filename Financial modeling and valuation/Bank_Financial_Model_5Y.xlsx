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" sheetId="2" state="visible" r:id="rId4"/>
    <sheet name="Balance Sheet" sheetId="3" state="visible" r:id="rId5"/>
    <sheet name="Capital Adequacy" sheetId="4" state="visible" r:id="rId6"/>
    <sheet name="Cash Flow" sheetId="5" state="visible" r:id="rId7"/>
    <sheet name="Summary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<sst xmlns="http://schemas.openxmlformats.org/spreadsheetml/2006/main" count="213" uniqueCount="158">
  <si>
    <t xml:space="preserve">BANK FINANCIAL MODEL – KEY ASSUMPTIONS</t>
  </si>
  <si>
    <t xml:space="preserve">Driver / Assumption</t>
  </si>
  <si>
    <t xml:space="preserve">FY2022A</t>
  </si>
  <si>
    <t xml:space="preserve">FY2023A</t>
  </si>
  <si>
    <t xml:space="preserve">FY2024A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</si>
  <si>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</si>
  <si>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</si>
  <si>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</si>
  <si>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</si>
  <si>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</si>
  <si>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BALANCE SHEET GROWTH</t>
  </si>
  <si>
    <t xml:space="preserve">Loan Growth (YoY %)</t>
  </si>
  <si>
    <t xml:space="preserve">Deposit Growth (YoY %)</t>
  </si>
  <si>
    <t xml:space="preserve">Investment Securities Mix</t>
  </si>
  <si>
    <t xml:space="preserve">NET INTEREST INCOME</t>
  </si>
  <si>
    <t xml:space="preserve">Avg. Loan Yield (%)</t>
  </si>
  <si>
    <t xml:space="preserve">Avg. Investment Yield (%)</t>
  </si>
  <si>
    <t xml:space="preserve">Avg. Cost of Deposits (%)</t>
  </si>
  <si>
    <t xml:space="preserve">Avg. Cost of Borrowings (%)</t>
  </si>
  <si>
    <t xml:space="preserve">Net Interest Margin (NIM)</t>
  </si>
  <si>
    <t xml:space="preserve">NON-INTEREST INCOME</t>
  </si>
  <si>
    <t xml:space="preserve">Fee Income Growth (%)</t>
  </si>
  <si>
    <t xml:space="preserve">Trading Income ($mm)</t>
  </si>
  <si>
    <t xml:space="preserve">Other Income ($mm)</t>
  </si>
  <si>
    <t xml:space="preserve">CREDIT QUALITY</t>
  </si>
  <si>
    <t xml:space="preserve">NPL Ratio (%)</t>
  </si>
  <si>
    <t xml:space="preserve">Coverage Ratio (%)</t>
  </si>
  <si>
    <t xml:space="preserve">Loan Loss Provision / Loans</t>
  </si>
  <si>
    <t xml:space="preserve">OPERATING EXPENSES</t>
  </si>
  <si>
    <t xml:space="preserve">Cost-to-Income Ratio (%)</t>
  </si>
  <si>
    <t xml:space="preserve">Staff Cost Growth (%)</t>
  </si>
  <si>
    <t xml:space="preserve">D&amp;A ($mm)</t>
  </si>
  <si>
    <t xml:space="preserve">CAPITAL &amp; RETURNS</t>
  </si>
  <si>
    <t xml:space="preserve">CET1 Target (%)</t>
  </si>
  <si>
    <t xml:space="preserve">Dividend Payout Ratio (%)</t>
  </si>
  <si>
    <t xml:space="preserve">Effective Tax Rate (%)</t>
  </si>
  <si>
    <t xml:space="preserve">COLOR LEGEND</t>
  </si>
  <si>
    <t xml:space="preserve">Blue  = Hardcoded input (user editable)</t>
  </si>
  <si>
    <t xml:space="preserve">Black = Formula / calculated cell</t>
  </si>
  <si>
    <t xml:space="preserve">Green = Cross-sheet link</t>
  </si>
  <si>
    <t xml:space="preserve">INCOME STATEMENT  ($mm)</t>
  </si>
  <si>
    <t xml:space="preserve">($mm)</t>
  </si>
  <si>
    <t xml:space="preserve">INTEREST INCOME / EXPENSE</t>
  </si>
  <si>
    <t xml:space="preserve">Interest Income</t>
  </si>
  <si>
    <t xml:space="preserve">Interest Expense</t>
  </si>
  <si>
    <t xml:space="preserve">Net Interest Income (NII)</t>
  </si>
  <si>
    <t xml:space="preserve">Fee &amp; Commission Income</t>
  </si>
  <si>
    <t xml:space="preserve">Trading Income</t>
  </si>
  <si>
    <t xml:space="preserve">Other Operating Income</t>
  </si>
  <si>
    <t xml:space="preserve">Total Non-Interest Income</t>
  </si>
  <si>
    <t xml:space="preserve">Total Operating Income</t>
  </si>
  <si>
    <t xml:space="preserve">Staff Costs</t>
  </si>
  <si>
    <t xml:space="preserve">Technology &amp; Infrastructure</t>
  </si>
  <si>
    <t xml:space="preserve">Occupancy &amp; Admin</t>
  </si>
  <si>
    <t xml:space="preserve">Depreciation &amp; Amortisation</t>
  </si>
  <si>
    <t xml:space="preserve">Total Operating Expenses</t>
  </si>
  <si>
    <t xml:space="preserve">Pre-Provision Operating Profit (PPOP)</t>
  </si>
  <si>
    <t xml:space="preserve">PROVISIONS &amp; IMPAIRMENTS</t>
  </si>
  <si>
    <t xml:space="preserve">Loan Loss Provisions (LLP)</t>
  </si>
  <si>
    <t xml:space="preserve">Other Impairments</t>
  </si>
  <si>
    <t xml:space="preserve">Total Provisions</t>
  </si>
  <si>
    <t xml:space="preserve">Pre-Tax Profit (PBT)</t>
  </si>
  <si>
    <t xml:space="preserve">Income Tax Expense</t>
  </si>
  <si>
    <t xml:space="preserve">Net Income (PAT)</t>
  </si>
  <si>
    <t xml:space="preserve">KEY RATIOS</t>
  </si>
  <si>
    <t xml:space="preserve">NIM (%)</t>
  </si>
  <si>
    <t xml:space="preserve">Cost-to-Income (%)</t>
  </si>
  <si>
    <t xml:space="preserve">LLP / Loans (%)</t>
  </si>
  <si>
    <t xml:space="preserve">ROE (%)</t>
  </si>
  <si>
    <t xml:space="preserve">ROA (%)</t>
  </si>
  <si>
    <t xml:space="preserve">BALANCE SHEET  ($mm)</t>
  </si>
  <si>
    <t xml:space="preserve">ASSETS</t>
  </si>
  <si>
    <t xml:space="preserve">Cash &amp; Central Bank Reserves</t>
  </si>
  <si>
    <t xml:space="preserve">Interbank Placements</t>
  </si>
  <si>
    <t xml:space="preserve">Investment Securities</t>
  </si>
  <si>
    <t xml:space="preserve">Gross Loans &amp; Advances</t>
  </si>
  <si>
    <t xml:space="preserve">Less: Loan Loss Reserves</t>
  </si>
  <si>
    <t xml:space="preserve">Net Loans &amp; Advances</t>
  </si>
  <si>
    <t xml:space="preserve">Fixed Assets &amp; ROU</t>
  </si>
  <si>
    <t xml:space="preserve">Goodwill &amp; Intangibles</t>
  </si>
  <si>
    <t xml:space="preserve">Other Assets (Deferred Tax, Derivatives)</t>
  </si>
  <si>
    <t xml:space="preserve">TOTAL ASSETS</t>
  </si>
  <si>
    <t xml:space="preserve">LIABILITIES</t>
  </si>
  <si>
    <t xml:space="preserve">CASA Deposits (Current &amp; Savings)</t>
  </si>
  <si>
    <t xml:space="preserve">Term / Fixed Deposits</t>
  </si>
  <si>
    <t xml:space="preserve">Total Customer Deposits</t>
  </si>
  <si>
    <t xml:space="preserve">Interbank Borrowings</t>
  </si>
  <si>
    <t xml:space="preserve">Debt Securities Issued</t>
  </si>
  <si>
    <t xml:space="preserve">Subordinated Debt</t>
  </si>
  <si>
    <t xml:space="preserve">Other Liabilities (Derivatives, Accruals)</t>
  </si>
  <si>
    <t xml:space="preserve">TOTAL LIABILITIES</t>
  </si>
  <si>
    <t xml:space="preserve">SHAREHOLDERS' EQUITY</t>
  </si>
  <si>
    <t xml:space="preserve">Share Capital &amp; Premium</t>
  </si>
  <si>
    <t xml:space="preserve">Retained Earnings</t>
  </si>
  <si>
    <t xml:space="preserve">Other Comprehensive Income (OCI)</t>
  </si>
  <si>
    <t xml:space="preserve">AT1 Capital Instruments</t>
  </si>
  <si>
    <t xml:space="preserve">TOTAL EQUITY</t>
  </si>
  <si>
    <t xml:space="preserve">TOTAL LIABILITIES &amp; EQUITY</t>
  </si>
  <si>
    <t xml:space="preserve">BALANCE SHEET CHECK</t>
  </si>
  <si>
    <t xml:space="preserve">CHECK (Assets – Liab. &amp; Equity) → Must = 0</t>
  </si>
  <si>
    <t xml:space="preserve">KEY BALANCE SHEET RATIOS</t>
  </si>
  <si>
    <t xml:space="preserve">Loan-to-Deposit Ratio (LDR %)</t>
  </si>
  <si>
    <t xml:space="preserve">CASA Ratio (%)</t>
  </si>
  <si>
    <t xml:space="preserve">CET1 Ratio (%)</t>
  </si>
  <si>
    <t xml:space="preserve">Leverage Ratio (Assets/Equity x)</t>
  </si>
  <si>
    <t xml:space="preserve">CAPITAL ADEQUACY (BASEL III)  ($mm)</t>
  </si>
  <si>
    <t xml:space="preserve">($mm / %)</t>
  </si>
  <si>
    <t xml:space="preserve">REGULATORY CAPITAL</t>
  </si>
  <si>
    <t xml:space="preserve">Common Equity Tier 1 (CET1)</t>
  </si>
  <si>
    <t xml:space="preserve">Additional Tier 1 (AT1)</t>
  </si>
  <si>
    <t xml:space="preserve">Tier 2 Capital (Sub Debt + Reserves)</t>
  </si>
  <si>
    <t xml:space="preserve">RISK-WEIGHTED ASSETS (RWA)</t>
  </si>
  <si>
    <t xml:space="preserve">Credit Risk RWA</t>
  </si>
  <si>
    <t xml:space="preserve">Market Risk RWA</t>
  </si>
  <si>
    <t xml:space="preserve">Operational Risk RWA</t>
  </si>
  <si>
    <t xml:space="preserve">CAPITAL RATIOS</t>
  </si>
  <si>
    <t xml:space="preserve">Tier 1 Ratio (%)</t>
  </si>
  <si>
    <t xml:space="preserve">Total Capital Adequacy Ratio (%)</t>
  </si>
  <si>
    <t xml:space="preserve">Minimum CET1 Requirement (%)</t>
  </si>
  <si>
    <t xml:space="preserve">CET1 Buffer above Minimum</t>
  </si>
  <si>
    <t xml:space="preserve">CASH FLOW STATEMENT  ($mm)</t>
  </si>
  <si>
    <t xml:space="preserve">Opening Cash Balance</t>
  </si>
  <si>
    <t xml:space="preserve">OPERATING ACTIVITIES</t>
  </si>
  <si>
    <t xml:space="preserve">Net Income</t>
  </si>
  <si>
    <t xml:space="preserve">Add: Depreciation &amp; Amortisation</t>
  </si>
  <si>
    <t xml:space="preserve">Add: Loan Loss Provisions</t>
  </si>
  <si>
    <t xml:space="preserve">Change in Loans (net)</t>
  </si>
  <si>
    <t xml:space="preserve">Change in Deposits (net)</t>
  </si>
  <si>
    <t xml:space="preserve">Change in Other Working Capital</t>
  </si>
  <si>
    <t xml:space="preserve">Net Cash from Operating Activities</t>
  </si>
  <si>
    <t xml:space="preserve">INVESTING ACTIVITIES</t>
  </si>
  <si>
    <t xml:space="preserve">Purchase of Investment Securities</t>
  </si>
  <si>
    <t xml:space="preserve">Proceeds from Securities Maturity / Sale</t>
  </si>
  <si>
    <t xml:space="preserve">Capital Expenditure (Capex)</t>
  </si>
  <si>
    <t xml:space="preserve">Acquisitions / Disposals (net)</t>
  </si>
  <si>
    <t xml:space="preserve">Net Cash from Investing Activities</t>
  </si>
  <si>
    <t xml:space="preserve">FINANCING ACTIVITIES</t>
  </si>
  <si>
    <t xml:space="preserve">Dividends Paid</t>
  </si>
  <si>
    <t xml:space="preserve">Issuance of Debt Securities</t>
  </si>
  <si>
    <t xml:space="preserve">Repayment of Borrowings</t>
  </si>
  <si>
    <t xml:space="preserve">Share Capital Issued / (Bought Back)</t>
  </si>
  <si>
    <t xml:space="preserve">Net Cash from Financing Activities</t>
  </si>
  <si>
    <t xml:space="preserve">NET CHANGE IN CASH</t>
  </si>
  <si>
    <t xml:space="preserve">Closing Cash Balance</t>
  </si>
  <si>
    <t xml:space="preserve">BANK FINANCIAL MODEL – SUMMARY DASHBOARD</t>
  </si>
  <si>
    <t xml:space="preserve">Metric</t>
  </si>
  <si>
    <t xml:space="preserve">PROFITABILITY ($mm)</t>
  </si>
  <si>
    <t xml:space="preserve">Pre-Provision Profit (PPOP)</t>
  </si>
  <si>
    <t xml:space="preserve">BALANCE SHEET ($mm)</t>
  </si>
  <si>
    <t xml:space="preserve">Total Assets</t>
  </si>
  <si>
    <t xml:space="preserve">Total Equity</t>
  </si>
  <si>
    <t xml:space="preserve">Return on Equity (ROE %)</t>
  </si>
  <si>
    <t xml:space="preserve">Return on Assets (ROA %)</t>
  </si>
  <si>
    <t xml:space="preserve">Net Interest Margin (NIM %)</t>
  </si>
  <si>
    <t xml:space="preserve">LDR (%)</t>
  </si>
  <si>
    <t xml:space="preserve">EPS ($)</t>
  </si>
  <si>
    <t xml:space="preserve">DPS ($)</t>
  </si>
  <si>
    <t xml:space="preserve">ℹ  Link cells above to the Income Statement and Balance Sheet sheets using cross-sheet formulas (e.g. ='Income Statement'!B25)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</si>
</sst>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0.00%;\(0.00%\);\-"/>
    <numFmt numFmtId="167" formatCode="#,##0;\(#,##0\);\-"/>
    <numFmt numFmtId="168" formatCode="0.00\x"/>
    <numFmt numFmtId="169" formatCode="0.000%;\(0.000%\);\-"/>
    <numFmt numFmtId="170" formatCode="0.0\x"/>
    <numFmt numFmtId="171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B05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00B050"/>
      <rgbColor rgb="FF003300"/>
      <rgbColor rgb="FF333300"/>
      <rgbColor rgb="FF9E48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true" outlineLevel="0" collapsed="false">
      <c r="A3" s="5" t="s">
        <v>10</v>
      </c>
      <c r="B3" s="5"/>
      <c r="C3" s="5"/>
      <c r="D3" s="5"/>
      <c r="E3" s="5"/>
      <c r="F3" s="5"/>
      <c r="G3" s="5"/>
      <c r="H3" s="6"/>
      <c r="I3" s="6"/>
    </row>
    <row r="4" customFormat="false" ht="15" hidden="false" customHeight="true" outlineLevel="0" collapsed="false">
      <c r="A4" s="7" t="s">
        <v>11</v>
      </c>
      <c r="B4" s="8"/>
      <c r="C4" s="8"/>
      <c r="D4" s="8"/>
      <c r="E4" s="9" t="n">
        <v>0.08</v>
      </c>
      <c r="F4" s="9" t="n">
        <v>0.09</v>
      </c>
      <c r="G4" s="9" t="n">
        <v>0.1</v>
      </c>
      <c r="H4" s="9"/>
      <c r="I4" s="9"/>
    </row>
    <row r="5" customFormat="false" ht="15" hidden="false" customHeight="true" outlineLevel="0" collapsed="false">
      <c r="A5" s="7" t="s">
        <v>12</v>
      </c>
      <c r="B5" s="8"/>
      <c r="C5" s="8"/>
      <c r="D5" s="8"/>
      <c r="E5" s="9" t="n">
        <v>0.07</v>
      </c>
      <c r="F5" s="9" t="n">
        <v>0.08</v>
      </c>
      <c r="G5" s="9" t="n">
        <v>0.09</v>
      </c>
      <c r="H5" s="9"/>
      <c r="I5" s="9"/>
    </row>
    <row r="6" customFormat="false" ht="15" hidden="false" customHeight="true" outlineLevel="0" collapsed="false">
      <c r="A6" s="7" t="s">
        <v>13</v>
      </c>
      <c r="B6" s="8"/>
      <c r="C6" s="8"/>
      <c r="D6" s="8"/>
      <c r="E6" s="9" t="n">
        <v>0.2</v>
      </c>
      <c r="F6" s="9" t="n">
        <v>0.2</v>
      </c>
      <c r="G6" s="9" t="n">
        <v>0.19</v>
      </c>
      <c r="H6" s="9"/>
      <c r="I6" s="9"/>
    </row>
    <row r="8" customFormat="false" ht="15" hidden="false" customHeight="true" outlineLevel="0" collapsed="false">
      <c r="A8" s="5" t="s">
        <v>14</v>
      </c>
      <c r="B8" s="5"/>
      <c r="C8" s="5"/>
      <c r="D8" s="5"/>
      <c r="E8" s="5"/>
      <c r="F8" s="5"/>
      <c r="G8" s="5"/>
      <c r="H8" s="6"/>
      <c r="I8" s="6"/>
    </row>
    <row r="9" customFormat="false" ht="15" hidden="false" customHeight="true" outlineLevel="0" collapsed="false">
      <c r="A9" s="7" t="s">
        <v>15</v>
      </c>
      <c r="B9" s="10"/>
      <c r="C9" s="10"/>
      <c r="D9" s="10"/>
      <c r="E9" s="11" t="n">
        <v>0.065</v>
      </c>
      <c r="F9" s="11" t="n">
        <v>0.068</v>
      </c>
      <c r="G9" s="11" t="n">
        <v>0.07</v>
      </c>
      <c r="H9" s="11"/>
      <c r="I9" s="11"/>
    </row>
    <row r="10" customFormat="false" ht="15" hidden="false" customHeight="true" outlineLevel="0" collapsed="false">
      <c r="A10" s="7" t="s">
        <v>16</v>
      </c>
      <c r="B10" s="10"/>
      <c r="C10" s="10"/>
      <c r="D10" s="10"/>
      <c r="E10" s="11" t="n">
        <v>0.045</v>
      </c>
      <c r="F10" s="11" t="n">
        <v>0.046</v>
      </c>
      <c r="G10" s="11" t="n">
        <v>0.047</v>
      </c>
      <c r="H10" s="11"/>
      <c r="I10" s="11"/>
    </row>
    <row r="11" customFormat="false" ht="15" hidden="false" customHeight="true" outlineLevel="0" collapsed="false">
      <c r="A11" s="7" t="s">
        <v>17</v>
      </c>
      <c r="B11" s="10"/>
      <c r="C11" s="10"/>
      <c r="D11" s="10"/>
      <c r="E11" s="11" t="n">
        <v>0.025</v>
      </c>
      <c r="F11" s="11" t="n">
        <v>0.027</v>
      </c>
      <c r="G11" s="11" t="n">
        <v>0.028</v>
      </c>
      <c r="H11" s="11"/>
      <c r="I11" s="11"/>
    </row>
    <row r="12" customFormat="false" ht="15" hidden="false" customHeight="true" outlineLevel="0" collapsed="false">
      <c r="A12" s="7" t="s">
        <v>18</v>
      </c>
      <c r="B12" s="10"/>
      <c r="C12" s="10"/>
      <c r="D12" s="10"/>
      <c r="E12" s="11" t="n">
        <v>0.042</v>
      </c>
      <c r="F12" s="11" t="n">
        <v>0.044</v>
      </c>
      <c r="G12" s="11" t="n">
        <v>0.045</v>
      </c>
      <c r="H12" s="11"/>
      <c r="I12" s="11"/>
    </row>
    <row r="13" customFormat="false" ht="15" hidden="false" customHeight="true" outlineLevel="0" collapsed="false">
      <c r="A13" s="7" t="s">
        <v>19</v>
      </c>
      <c r="B13" s="10"/>
      <c r="C13" s="10"/>
      <c r="D13" s="10"/>
      <c r="E13" s="11" t="n">
        <v>0.038</v>
      </c>
      <c r="F13" s="11" t="n">
        <v>0.039</v>
      </c>
      <c r="G13" s="11" t="n">
        <v>0.04</v>
      </c>
      <c r="H13" s="11"/>
      <c r="I13" s="11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6"/>
      <c r="I15" s="6"/>
    </row>
    <row r="16" customFormat="false" ht="15" hidden="false" customHeight="true" outlineLevel="0" collapsed="false">
      <c r="A16" s="7" t="s">
        <v>21</v>
      </c>
      <c r="B16" s="8"/>
      <c r="C16" s="8"/>
      <c r="D16" s="8"/>
      <c r="E16" s="9" t="n">
        <v>0.06</v>
      </c>
      <c r="F16" s="9" t="n">
        <v>0.07</v>
      </c>
      <c r="G16" s="9" t="n">
        <v>0.07</v>
      </c>
      <c r="H16" s="9"/>
      <c r="I16" s="9"/>
    </row>
    <row r="17" customFormat="false" ht="15" hidden="false" customHeight="true" outlineLevel="0" collapsed="false">
      <c r="A17" s="7" t="s">
        <v>22</v>
      </c>
      <c r="B17" s="12"/>
      <c r="C17" s="12"/>
      <c r="D17" s="12"/>
      <c r="E17" s="13" t="n">
        <v>120</v>
      </c>
      <c r="F17" s="13" t="n">
        <v>130</v>
      </c>
      <c r="G17" s="13" t="n">
        <v>135</v>
      </c>
      <c r="H17" s="13"/>
      <c r="I17" s="13"/>
    </row>
    <row r="18" customFormat="false" ht="15" hidden="false" customHeight="true" outlineLevel="0" collapsed="false">
      <c r="A18" s="7" t="s">
        <v>23</v>
      </c>
      <c r="B18" s="12"/>
      <c r="C18" s="12"/>
      <c r="D18" s="12"/>
      <c r="E18" s="13" t="n">
        <v>50</v>
      </c>
      <c r="F18" s="13" t="n">
        <v>55</v>
      </c>
      <c r="G18" s="13" t="n">
        <v>58</v>
      </c>
      <c r="H18" s="13"/>
      <c r="I18" s="13"/>
    </row>
    <row r="20" customFormat="false" ht="15" hidden="false" customHeight="true" outlineLevel="0" collapsed="false">
      <c r="A20" s="5" t="s">
        <v>24</v>
      </c>
      <c r="B20" s="5"/>
      <c r="C20" s="5"/>
      <c r="D20" s="5"/>
      <c r="E20" s="5"/>
      <c r="F20" s="5"/>
      <c r="G20" s="5"/>
      <c r="H20" s="6"/>
      <c r="I20" s="6"/>
    </row>
    <row r="21" customFormat="false" ht="15" hidden="false" customHeight="true" outlineLevel="0" collapsed="false">
      <c r="A21" s="7" t="s">
        <v>25</v>
      </c>
      <c r="B21" s="10"/>
      <c r="C21" s="10"/>
      <c r="D21" s="10"/>
      <c r="E21" s="11" t="n">
        <v>0.02</v>
      </c>
      <c r="F21" s="11" t="n">
        <v>0.018</v>
      </c>
      <c r="G21" s="11" t="n">
        <v>0.017</v>
      </c>
      <c r="H21" s="11"/>
      <c r="I21" s="11"/>
    </row>
    <row r="22" customFormat="false" ht="15" hidden="false" customHeight="true" outlineLevel="0" collapsed="false">
      <c r="A22" s="7" t="s">
        <v>26</v>
      </c>
      <c r="B22" s="14"/>
      <c r="C22" s="14"/>
      <c r="D22" s="14"/>
      <c r="E22" s="15" t="n">
        <v>1.2</v>
      </c>
      <c r="F22" s="15" t="n">
        <v>1.25</v>
      </c>
      <c r="G22" s="15" t="n">
        <v>1.25</v>
      </c>
      <c r="H22" s="15"/>
      <c r="I22" s="15"/>
    </row>
    <row r="23" customFormat="false" ht="15" hidden="false" customHeight="true" outlineLevel="0" collapsed="false">
      <c r="A23" s="7" t="s">
        <v>27</v>
      </c>
      <c r="B23" s="16"/>
      <c r="C23" s="16"/>
      <c r="D23" s="16"/>
      <c r="E23" s="17" t="n">
        <v>0.008</v>
      </c>
      <c r="F23" s="17" t="n">
        <v>0.007</v>
      </c>
      <c r="G23" s="17" t="n">
        <v>0.006</v>
      </c>
      <c r="H23" s="17"/>
      <c r="I23" s="17"/>
    </row>
    <row r="25" customFormat="false" ht="15" hidden="false" customHeight="true" outlineLevel="0" collapsed="false">
      <c r="A25" s="5" t="s">
        <v>28</v>
      </c>
      <c r="B25" s="5"/>
      <c r="C25" s="5"/>
      <c r="D25" s="5"/>
      <c r="E25" s="5"/>
      <c r="F25" s="5"/>
      <c r="G25" s="5"/>
      <c r="H25" s="6"/>
      <c r="I25" s="6"/>
    </row>
    <row r="26" customFormat="false" ht="15" hidden="false" customHeight="true" outlineLevel="0" collapsed="false">
      <c r="A26" s="7" t="s">
        <v>29</v>
      </c>
      <c r="B26" s="8"/>
      <c r="C26" s="8"/>
      <c r="D26" s="8"/>
      <c r="E26" s="9" t="n">
        <v>0.48</v>
      </c>
      <c r="F26" s="9" t="n">
        <v>0.47</v>
      </c>
      <c r="G26" s="9" t="n">
        <v>0.46</v>
      </c>
      <c r="H26" s="9"/>
      <c r="I26" s="9"/>
    </row>
    <row r="27" customFormat="false" ht="15" hidden="false" customHeight="true" outlineLevel="0" collapsed="false">
      <c r="A27" s="7" t="s">
        <v>30</v>
      </c>
      <c r="B27" s="8"/>
      <c r="C27" s="8"/>
      <c r="D27" s="8"/>
      <c r="E27" s="9" t="n">
        <v>0.04</v>
      </c>
      <c r="F27" s="9" t="n">
        <v>0.04</v>
      </c>
      <c r="G27" s="9" t="n">
        <v>0.04</v>
      </c>
      <c r="H27" s="9"/>
      <c r="I27" s="9"/>
    </row>
    <row r="28" customFormat="false" ht="15" hidden="false" customHeight="true" outlineLevel="0" collapsed="false">
      <c r="A28" s="7" t="s">
        <v>31</v>
      </c>
      <c r="B28" s="12"/>
      <c r="C28" s="12"/>
      <c r="D28" s="12"/>
      <c r="E28" s="13" t="n">
        <v>85</v>
      </c>
      <c r="F28" s="13" t="n">
        <v>88</v>
      </c>
      <c r="G28" s="13" t="n">
        <v>91</v>
      </c>
      <c r="H28" s="13"/>
      <c r="I28" s="13"/>
    </row>
    <row r="30" customFormat="false" ht="15" hidden="false" customHeight="true" outlineLevel="0" collapsed="false">
      <c r="A30" s="5" t="s">
        <v>32</v>
      </c>
      <c r="B30" s="5"/>
      <c r="C30" s="5"/>
      <c r="D30" s="5"/>
      <c r="E30" s="5"/>
      <c r="F30" s="5"/>
      <c r="G30" s="5"/>
      <c r="H30" s="6"/>
      <c r="I30" s="6"/>
    </row>
    <row r="31" customFormat="false" ht="15" hidden="false" customHeight="true" outlineLevel="0" collapsed="false">
      <c r="A31" s="7" t="s">
        <v>33</v>
      </c>
      <c r="B31" s="8"/>
      <c r="C31" s="8"/>
      <c r="D31" s="8"/>
      <c r="E31" s="9" t="n">
        <v>0.13</v>
      </c>
      <c r="F31" s="9" t="n">
        <v>0.13</v>
      </c>
      <c r="G31" s="9" t="n">
        <v>0.135</v>
      </c>
      <c r="H31" s="9"/>
      <c r="I31" s="9"/>
    </row>
    <row r="32" customFormat="false" ht="15" hidden="false" customHeight="true" outlineLevel="0" collapsed="false">
      <c r="A32" s="7" t="s">
        <v>34</v>
      </c>
      <c r="B32" s="8"/>
      <c r="C32" s="8"/>
      <c r="D32" s="8"/>
      <c r="E32" s="9" t="n">
        <v>0.4</v>
      </c>
      <c r="F32" s="9" t="n">
        <v>0.42</v>
      </c>
      <c r="G32" s="9" t="n">
        <v>0.42</v>
      </c>
      <c r="H32" s="9"/>
      <c r="I32" s="9"/>
    </row>
    <row r="33" customFormat="false" ht="15" hidden="false" customHeight="true" outlineLevel="0" collapsed="false">
      <c r="A33" s="7" t="s">
        <v>35</v>
      </c>
      <c r="B33" s="8"/>
      <c r="C33" s="8"/>
      <c r="D33" s="8"/>
      <c r="E33" s="9" t="n">
        <v>0.25</v>
      </c>
      <c r="F33" s="9" t="n">
        <v>0.25</v>
      </c>
      <c r="G33" s="9" t="n">
        <v>0.25</v>
      </c>
      <c r="H33" s="9"/>
      <c r="I33" s="9"/>
    </row>
    <row r="36" customFormat="false" ht="15" hidden="false" customHeight="true" outlineLevel="0" collapsed="false">
      <c r="A36" s="18" t="s">
        <v>36</v>
      </c>
      <c r="B36" s="18"/>
      <c r="C36" s="18"/>
      <c r="D36" s="18"/>
      <c r="E36" s="18"/>
      <c r="F36" s="18"/>
      <c r="G36" s="18"/>
    </row>
    <row r="37" customFormat="false" ht="15" hidden="false" customHeight="true" outlineLevel="0" collapsed="false">
      <c r="A37" s="19" t="s">
        <v>37</v>
      </c>
      <c r="B37" s="19"/>
      <c r="C37" s="19"/>
      <c r="D37" s="19"/>
      <c r="E37" s="19"/>
      <c r="F37" s="19"/>
      <c r="G37" s="19"/>
    </row>
    <row r="38" customFormat="false" ht="15" hidden="false" customHeight="true" outlineLevel="0" collapsed="false">
      <c r="A38" s="20" t="s">
        <v>38</v>
      </c>
      <c r="B38" s="20"/>
      <c r="C38" s="20"/>
      <c r="D38" s="20"/>
      <c r="E38" s="20"/>
      <c r="F38" s="20"/>
      <c r="G38" s="20"/>
    </row>
    <row r="39" customFormat="false" ht="15" hidden="false" customHeight="true" outlineLevel="0" collapsed="false">
      <c r="A39" s="21" t="s">
        <v>39</v>
      </c>
      <c r="B39" s="21"/>
      <c r="C39" s="21"/>
      <c r="D39" s="21"/>
      <c r="E39" s="21"/>
      <c r="F39" s="21"/>
      <c r="G39" s="21"/>
    </row>
  </sheetData>
  <mergeCells count="11">
    <mergeCell ref="A1:G1"/>
    <mergeCell ref="A3:G3"/>
    <mergeCell ref="A8:G8"/>
    <mergeCell ref="A15:G15"/>
    <mergeCell ref="A20:G20"/>
    <mergeCell ref="A25:G25"/>
    <mergeCell ref="A30:G30"/>
    <mergeCell ref="A36:G36"/>
    <mergeCell ref="A37:G37"/>
    <mergeCell ref="A38:G38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40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true" outlineLevel="0" collapsed="false">
      <c r="A3" s="5" t="s">
        <v>42</v>
      </c>
      <c r="B3" s="5"/>
      <c r="C3" s="5"/>
      <c r="D3" s="5"/>
      <c r="E3" s="5"/>
      <c r="F3" s="5"/>
      <c r="G3" s="5"/>
      <c r="H3" s="6"/>
      <c r="I3" s="6"/>
    </row>
    <row r="4" customFormat="false" ht="15" hidden="false" customHeight="true" outlineLevel="0" collapsed="false">
      <c r="A4" s="7" t="s">
        <v>43</v>
      </c>
      <c r="B4" s="13" t="n">
        <v>1920</v>
      </c>
      <c r="C4" s="13" t="n">
        <v>2140</v>
      </c>
      <c r="D4" s="13" t="n">
        <v>2380</v>
      </c>
      <c r="E4" s="22"/>
      <c r="F4" s="22"/>
      <c r="G4" s="22"/>
      <c r="H4" s="22"/>
      <c r="I4" s="22"/>
    </row>
    <row r="5" customFormat="false" ht="15" hidden="false" customHeight="true" outlineLevel="0" collapsed="false">
      <c r="A5" s="7" t="s">
        <v>44</v>
      </c>
      <c r="B5" s="13" t="n">
        <v>70</v>
      </c>
      <c r="C5" s="13" t="n">
        <v>90</v>
      </c>
      <c r="D5" s="13" t="n">
        <v>100</v>
      </c>
      <c r="E5" s="22"/>
      <c r="F5" s="22"/>
      <c r="G5" s="22"/>
      <c r="H5" s="22"/>
      <c r="I5" s="22"/>
    </row>
    <row r="6" customFormat="false" ht="15" hidden="false" customHeight="true" outlineLevel="0" collapsed="false">
      <c r="A6" s="23" t="s">
        <v>45</v>
      </c>
      <c r="B6" s="24" t="n">
        <f aca="false">B4-B5</f>
        <v>1850</v>
      </c>
      <c r="C6" s="24" t="n">
        <f aca="false">C4-C5</f>
        <v>2050</v>
      </c>
      <c r="D6" s="24" t="n">
        <f aca="false">D4-D5</f>
        <v>2280</v>
      </c>
      <c r="E6" s="24" t="n">
        <f aca="false">E4-E5</f>
        <v>0</v>
      </c>
      <c r="F6" s="24" t="n">
        <f aca="false">F4-F5</f>
        <v>0</v>
      </c>
      <c r="G6" s="24" t="n">
        <f aca="false">G4-G5</f>
        <v>0</v>
      </c>
      <c r="H6" s="24" t="n">
        <f aca="false">H4-H5</f>
        <v>0</v>
      </c>
      <c r="I6" s="24" t="n">
        <f aca="false">I4-I5</f>
        <v>0</v>
      </c>
    </row>
    <row r="8" customFormat="false" ht="15" hidden="false" customHeight="true" outlineLevel="0" collapsed="false">
      <c r="A8" s="5" t="s">
        <v>20</v>
      </c>
      <c r="B8" s="5"/>
      <c r="C8" s="5"/>
      <c r="D8" s="5"/>
      <c r="E8" s="5"/>
      <c r="F8" s="5"/>
      <c r="G8" s="5"/>
      <c r="H8" s="6"/>
      <c r="I8" s="6"/>
    </row>
    <row r="9" customFormat="false" ht="15" hidden="false" customHeight="true" outlineLevel="0" collapsed="false">
      <c r="A9" s="7" t="s">
        <v>46</v>
      </c>
      <c r="B9" s="13" t="n">
        <v>420</v>
      </c>
      <c r="C9" s="13" t="n">
        <v>455</v>
      </c>
      <c r="D9" s="13" t="n">
        <v>492</v>
      </c>
      <c r="E9" s="22"/>
      <c r="F9" s="22"/>
      <c r="G9" s="22"/>
      <c r="H9" s="22"/>
      <c r="I9" s="22"/>
    </row>
    <row r="10" customFormat="false" ht="15" hidden="false" customHeight="true" outlineLevel="0" collapsed="false">
      <c r="A10" s="7" t="s">
        <v>47</v>
      </c>
      <c r="B10" s="13" t="n">
        <v>110</v>
      </c>
      <c r="C10" s="13" t="n">
        <v>115</v>
      </c>
      <c r="D10" s="13" t="n">
        <v>118</v>
      </c>
      <c r="E10" s="22"/>
      <c r="F10" s="22"/>
      <c r="G10" s="22"/>
      <c r="H10" s="22"/>
      <c r="I10" s="22"/>
    </row>
    <row r="11" customFormat="false" ht="15" hidden="false" customHeight="true" outlineLevel="0" collapsed="false">
      <c r="A11" s="7" t="s">
        <v>48</v>
      </c>
      <c r="B11" s="13" t="n">
        <v>44</v>
      </c>
      <c r="C11" s="13" t="n">
        <v>47</v>
      </c>
      <c r="D11" s="13" t="n">
        <v>49</v>
      </c>
      <c r="E11" s="22"/>
      <c r="F11" s="22"/>
      <c r="G11" s="22"/>
      <c r="H11" s="22"/>
      <c r="I11" s="22"/>
    </row>
    <row r="12" customFormat="false" ht="15" hidden="false" customHeight="true" outlineLevel="0" collapsed="false">
      <c r="A12" s="23" t="s">
        <v>49</v>
      </c>
      <c r="B12" s="24" t="n">
        <f aca="false">SUM(B9:B11)</f>
        <v>574</v>
      </c>
      <c r="C12" s="24" t="n">
        <f aca="false">SUM(C9:C11)</f>
        <v>617</v>
      </c>
      <c r="D12" s="24" t="n">
        <f aca="false">SUM(D9:D11)</f>
        <v>659</v>
      </c>
      <c r="E12" s="24" t="n">
        <f aca="false">SUM(E9:E11)</f>
        <v>0</v>
      </c>
      <c r="F12" s="24" t="n">
        <f aca="false">SUM(F9:F11)</f>
        <v>0</v>
      </c>
      <c r="G12" s="24" t="n">
        <f aca="false">SUM(G9:G11)</f>
        <v>0</v>
      </c>
      <c r="H12" s="24" t="n">
        <f aca="false">SUM(H9:H11)</f>
        <v>0</v>
      </c>
      <c r="I12" s="24" t="n">
        <f aca="false">SUM(I9:I11)</f>
        <v>0</v>
      </c>
    </row>
    <row r="14" customFormat="false" ht="15" hidden="false" customHeight="true" outlineLevel="0" collapsed="false">
      <c r="A14" s="25" t="s">
        <v>50</v>
      </c>
      <c r="B14" s="26" t="n">
        <f aca="false">B6+B12</f>
        <v>2424</v>
      </c>
      <c r="C14" s="26" t="n">
        <f aca="false">C6+C12</f>
        <v>2667</v>
      </c>
      <c r="D14" s="26" t="n">
        <f aca="false">D6+D12</f>
        <v>2939</v>
      </c>
      <c r="E14" s="26" t="n">
        <f aca="false">E6+E12</f>
        <v>0</v>
      </c>
      <c r="F14" s="26" t="n">
        <f aca="false">F6+F12</f>
        <v>0</v>
      </c>
      <c r="G14" s="26" t="n">
        <f aca="false">G6+G12</f>
        <v>0</v>
      </c>
      <c r="H14" s="26" t="n">
        <f aca="false">H6+H12</f>
        <v>0</v>
      </c>
      <c r="I14" s="26" t="n">
        <f aca="false">I6+I12</f>
        <v>0</v>
      </c>
    </row>
    <row r="16" customFormat="false" ht="15" hidden="false" customHeight="true" outlineLevel="0" collapsed="false">
      <c r="A16" s="5" t="s">
        <v>28</v>
      </c>
      <c r="B16" s="5"/>
      <c r="C16" s="5"/>
      <c r="D16" s="5"/>
      <c r="E16" s="5"/>
      <c r="F16" s="5"/>
      <c r="G16" s="5"/>
      <c r="H16" s="6"/>
      <c r="I16" s="6"/>
    </row>
    <row r="17" customFormat="false" ht="15" hidden="false" customHeight="true" outlineLevel="0" collapsed="false">
      <c r="A17" s="7" t="s">
        <v>51</v>
      </c>
      <c r="B17" s="13" t="n">
        <v>620</v>
      </c>
      <c r="C17" s="13" t="n">
        <v>660</v>
      </c>
      <c r="D17" s="13" t="n">
        <v>700</v>
      </c>
      <c r="E17" s="22"/>
      <c r="F17" s="22"/>
      <c r="G17" s="22"/>
      <c r="H17" s="22"/>
      <c r="I17" s="22"/>
    </row>
    <row r="18" customFormat="false" ht="15" hidden="false" customHeight="true" outlineLevel="0" collapsed="false">
      <c r="A18" s="7" t="s">
        <v>52</v>
      </c>
      <c r="B18" s="13" t="n">
        <v>210</v>
      </c>
      <c r="C18" s="13" t="n">
        <v>225</v>
      </c>
      <c r="D18" s="13" t="n">
        <v>238</v>
      </c>
      <c r="E18" s="22"/>
      <c r="F18" s="22"/>
      <c r="G18" s="22"/>
      <c r="H18" s="22"/>
      <c r="I18" s="22"/>
    </row>
    <row r="19" customFormat="false" ht="15" hidden="false" customHeight="true" outlineLevel="0" collapsed="false">
      <c r="A19" s="7" t="s">
        <v>53</v>
      </c>
      <c r="B19" s="13" t="n">
        <v>195</v>
      </c>
      <c r="C19" s="13" t="n">
        <v>205</v>
      </c>
      <c r="D19" s="13" t="n">
        <v>212</v>
      </c>
      <c r="E19" s="22"/>
      <c r="F19" s="22"/>
      <c r="G19" s="22"/>
      <c r="H19" s="22"/>
      <c r="I19" s="22"/>
    </row>
    <row r="20" customFormat="false" ht="15" hidden="false" customHeight="true" outlineLevel="0" collapsed="false">
      <c r="A20" s="7" t="s">
        <v>54</v>
      </c>
      <c r="B20" s="13" t="n">
        <v>85</v>
      </c>
      <c r="C20" s="13" t="n">
        <v>88</v>
      </c>
      <c r="D20" s="13" t="n">
        <v>91</v>
      </c>
      <c r="E20" s="22"/>
      <c r="F20" s="22"/>
      <c r="G20" s="22"/>
      <c r="H20" s="22"/>
      <c r="I20" s="22"/>
    </row>
    <row r="21" customFormat="false" ht="15" hidden="false" customHeight="true" outlineLevel="0" collapsed="false">
      <c r="A21" s="23" t="s">
        <v>55</v>
      </c>
      <c r="B21" s="24" t="n">
        <f aca="false">SUM(B17:B20)</f>
        <v>1110</v>
      </c>
      <c r="C21" s="24" t="n">
        <f aca="false">SUM(C17:C20)</f>
        <v>1178</v>
      </c>
      <c r="D21" s="24" t="n">
        <f aca="false">SUM(D17:D20)</f>
        <v>1241</v>
      </c>
      <c r="E21" s="24" t="n">
        <f aca="false">SUM(E17:E20)</f>
        <v>0</v>
      </c>
      <c r="F21" s="24" t="n">
        <f aca="false">SUM(F17:F20)</f>
        <v>0</v>
      </c>
      <c r="G21" s="24" t="n">
        <f aca="false">SUM(G17:G20)</f>
        <v>0</v>
      </c>
      <c r="H21" s="24" t="n">
        <f aca="false">SUM(H17:H20)</f>
        <v>0</v>
      </c>
      <c r="I21" s="24" t="n">
        <f aca="false">SUM(I17:I20)</f>
        <v>0</v>
      </c>
    </row>
    <row r="23" customFormat="false" ht="15" hidden="false" customHeight="true" outlineLevel="0" collapsed="false">
      <c r="A23" s="25" t="s">
        <v>56</v>
      </c>
      <c r="B23" s="26" t="n">
        <f aca="false">B14-B21</f>
        <v>1314</v>
      </c>
      <c r="C23" s="26" t="n">
        <f aca="false">C14-C21</f>
        <v>1489</v>
      </c>
      <c r="D23" s="26" t="n">
        <f aca="false">D14-D21</f>
        <v>1698</v>
      </c>
      <c r="E23" s="26" t="n">
        <f aca="false">E14-E21</f>
        <v>0</v>
      </c>
      <c r="F23" s="26" t="n">
        <f aca="false">F14-F21</f>
        <v>0</v>
      </c>
      <c r="G23" s="26" t="n">
        <f aca="false">G14-G21</f>
        <v>0</v>
      </c>
      <c r="H23" s="26" t="n">
        <f aca="false">H14-H21</f>
        <v>0</v>
      </c>
      <c r="I23" s="26" t="n">
        <f aca="false">I14-I21</f>
        <v>0</v>
      </c>
    </row>
    <row r="25" customFormat="false" ht="15" hidden="false" customHeight="true" outlineLevel="0" collapsed="false">
      <c r="A25" s="5" t="s">
        <v>57</v>
      </c>
      <c r="B25" s="5"/>
      <c r="C25" s="5"/>
      <c r="D25" s="5"/>
      <c r="E25" s="5"/>
      <c r="F25" s="5"/>
      <c r="G25" s="5"/>
      <c r="H25" s="6"/>
      <c r="I25" s="6"/>
    </row>
    <row r="26" customFormat="false" ht="15" hidden="false" customHeight="true" outlineLevel="0" collapsed="false">
      <c r="A26" s="7" t="s">
        <v>58</v>
      </c>
      <c r="B26" s="13" t="n">
        <v>185</v>
      </c>
      <c r="C26" s="13" t="n">
        <v>175</v>
      </c>
      <c r="D26" s="13" t="n">
        <v>160</v>
      </c>
      <c r="E26" s="22"/>
      <c r="F26" s="22"/>
      <c r="G26" s="22"/>
      <c r="H26" s="22"/>
      <c r="I26" s="22"/>
    </row>
    <row r="27" customFormat="false" ht="15" hidden="false" customHeight="true" outlineLevel="0" collapsed="false">
      <c r="A27" s="7" t="s">
        <v>59</v>
      </c>
      <c r="B27" s="13" t="n">
        <v>10</v>
      </c>
      <c r="C27" s="13" t="n">
        <v>8</v>
      </c>
      <c r="D27" s="13" t="n">
        <v>7</v>
      </c>
      <c r="E27" s="22"/>
      <c r="F27" s="22"/>
      <c r="G27" s="22"/>
      <c r="H27" s="22"/>
      <c r="I27" s="22"/>
    </row>
    <row r="28" customFormat="false" ht="15" hidden="false" customHeight="true" outlineLevel="0" collapsed="false">
      <c r="A28" s="23" t="s">
        <v>60</v>
      </c>
      <c r="B28" s="24" t="n">
        <f aca="false">B26+B27</f>
        <v>195</v>
      </c>
      <c r="C28" s="24" t="n">
        <f aca="false">C26+C27</f>
        <v>183</v>
      </c>
      <c r="D28" s="24" t="n">
        <f aca="false">D26+D27</f>
        <v>167</v>
      </c>
      <c r="E28" s="24" t="n">
        <f aca="false">E26+E27</f>
        <v>0</v>
      </c>
      <c r="F28" s="24" t="n">
        <f aca="false">F26+F27</f>
        <v>0</v>
      </c>
      <c r="G28" s="24" t="n">
        <f aca="false">G26+G27</f>
        <v>0</v>
      </c>
      <c r="H28" s="24" t="n">
        <f aca="false">H26+H27</f>
        <v>0</v>
      </c>
      <c r="I28" s="24" t="n">
        <f aca="false">I26+I27</f>
        <v>0</v>
      </c>
    </row>
    <row r="30" customFormat="false" ht="15" hidden="false" customHeight="true" outlineLevel="0" collapsed="false">
      <c r="A30" s="25" t="s">
        <v>61</v>
      </c>
      <c r="B30" s="26" t="n">
        <f aca="false">B23-B28</f>
        <v>1119</v>
      </c>
      <c r="C30" s="26" t="n">
        <f aca="false">C23-C28</f>
        <v>1306</v>
      </c>
      <c r="D30" s="26" t="n">
        <f aca="false">D23-D28</f>
        <v>1531</v>
      </c>
      <c r="E30" s="26" t="n">
        <f aca="false">E23-E28</f>
        <v>0</v>
      </c>
      <c r="F30" s="26" t="n">
        <f aca="false">F23-F28</f>
        <v>0</v>
      </c>
      <c r="G30" s="26" t="n">
        <f aca="false">G23-G28</f>
        <v>0</v>
      </c>
      <c r="H30" s="26" t="n">
        <f aca="false">H23-H28</f>
        <v>0</v>
      </c>
      <c r="I30" s="26" t="n">
        <f aca="false">I23-I28</f>
        <v>0</v>
      </c>
    </row>
    <row r="31" customFormat="false" ht="15" hidden="false" customHeight="true" outlineLevel="0" collapsed="false">
      <c r="A31" s="7" t="s">
        <v>62</v>
      </c>
      <c r="B31" s="13" t="n">
        <v>155</v>
      </c>
      <c r="C31" s="13" t="n">
        <v>168</v>
      </c>
      <c r="D31" s="13" t="n">
        <v>188</v>
      </c>
      <c r="E31" s="22"/>
      <c r="F31" s="22"/>
      <c r="G31" s="22"/>
      <c r="H31" s="22"/>
      <c r="I31" s="22"/>
    </row>
    <row r="32" customFormat="false" ht="15" hidden="false" customHeight="true" outlineLevel="0" collapsed="false">
      <c r="A32" s="25" t="s">
        <v>63</v>
      </c>
      <c r="B32" s="26" t="n">
        <f aca="false">B30-B31</f>
        <v>964</v>
      </c>
      <c r="C32" s="26" t="n">
        <f aca="false">C30-C31</f>
        <v>1138</v>
      </c>
      <c r="D32" s="26" t="n">
        <f aca="false">D30-D31</f>
        <v>1343</v>
      </c>
      <c r="E32" s="26" t="n">
        <f aca="false">E30-E31</f>
        <v>0</v>
      </c>
      <c r="F32" s="26" t="n">
        <f aca="false">F30-F31</f>
        <v>0</v>
      </c>
      <c r="G32" s="26" t="n">
        <f aca="false">G30-G31</f>
        <v>0</v>
      </c>
      <c r="H32" s="26" t="n">
        <f aca="false">H30-H31</f>
        <v>0</v>
      </c>
      <c r="I32" s="26" t="n">
        <f aca="false">I30-I31</f>
        <v>0</v>
      </c>
    </row>
    <row r="34" customFormat="false" ht="15" hidden="false" customHeight="true" outlineLevel="0" collapsed="false">
      <c r="A34" s="5" t="s">
        <v>64</v>
      </c>
      <c r="B34" s="5"/>
      <c r="C34" s="5"/>
      <c r="D34" s="5"/>
      <c r="E34" s="5"/>
      <c r="F34" s="5"/>
      <c r="G34" s="5"/>
      <c r="H34" s="6"/>
      <c r="I34" s="6"/>
    </row>
    <row r="35" customFormat="false" ht="15" hidden="false" customHeight="true" outlineLevel="0" collapsed="false">
      <c r="A35" s="7" t="s">
        <v>65</v>
      </c>
      <c r="B35" s="27"/>
      <c r="C35" s="27"/>
      <c r="D35" s="27"/>
      <c r="E35" s="27"/>
      <c r="F35" s="27"/>
      <c r="G35" s="27"/>
      <c r="H35" s="27"/>
      <c r="I35" s="27"/>
    </row>
    <row r="36" customFormat="false" ht="15" hidden="false" customHeight="true" outlineLevel="0" collapsed="false">
      <c r="A36" s="7" t="s">
        <v>66</v>
      </c>
      <c r="B36" s="28"/>
      <c r="C36" s="28"/>
      <c r="D36" s="28"/>
      <c r="E36" s="28"/>
      <c r="F36" s="28"/>
      <c r="G36" s="28"/>
      <c r="H36" s="28"/>
      <c r="I36" s="28"/>
    </row>
    <row r="37" customFormat="false" ht="15" hidden="false" customHeight="true" outlineLevel="0" collapsed="false">
      <c r="A37" s="7" t="s">
        <v>67</v>
      </c>
      <c r="B37" s="29"/>
      <c r="C37" s="29"/>
      <c r="D37" s="29"/>
      <c r="E37" s="29"/>
      <c r="F37" s="29"/>
      <c r="G37" s="29"/>
      <c r="H37" s="29"/>
      <c r="I37" s="29"/>
    </row>
    <row r="38" customFormat="false" ht="15" hidden="false" customHeight="true" outlineLevel="0" collapsed="false">
      <c r="A38" s="7" t="s">
        <v>68</v>
      </c>
      <c r="B38" s="28"/>
      <c r="C38" s="28"/>
      <c r="D38" s="28"/>
      <c r="E38" s="28"/>
      <c r="F38" s="28"/>
      <c r="G38" s="28"/>
      <c r="H38" s="28"/>
      <c r="I38" s="28"/>
    </row>
    <row r="39" customFormat="false" ht="15" hidden="false" customHeight="true" outlineLevel="0" collapsed="false">
      <c r="A39" s="7" t="s">
        <v>69</v>
      </c>
      <c r="B39" s="28"/>
      <c r="C39" s="28"/>
      <c r="D39" s="28"/>
      <c r="E39" s="28"/>
      <c r="F39" s="28"/>
      <c r="G39" s="28"/>
      <c r="H39" s="28"/>
      <c r="I39" s="28"/>
    </row>
  </sheetData>
  <mergeCells count="6">
    <mergeCell ref="A1:G1"/>
    <mergeCell ref="A3:G3"/>
    <mergeCell ref="A8:G8"/>
    <mergeCell ref="A16:G16"/>
    <mergeCell ref="A25:G25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70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0" t="s">
        <v>41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true" outlineLevel="0" collapsed="false">
      <c r="A3" s="5" t="s">
        <v>71</v>
      </c>
      <c r="B3" s="5"/>
      <c r="C3" s="5"/>
      <c r="D3" s="5"/>
      <c r="E3" s="5"/>
      <c r="F3" s="5"/>
      <c r="G3" s="5"/>
      <c r="H3" s="6"/>
      <c r="I3" s="6"/>
    </row>
    <row r="4" customFormat="false" ht="15" hidden="false" customHeight="true" outlineLevel="0" collapsed="false">
      <c r="A4" s="7" t="s">
        <v>72</v>
      </c>
      <c r="B4" s="13" t="n">
        <v>1200</v>
      </c>
      <c r="C4" s="13" t="n">
        <v>1350</v>
      </c>
      <c r="D4" s="13" t="n">
        <v>1450</v>
      </c>
      <c r="E4" s="22"/>
      <c r="F4" s="22"/>
      <c r="G4" s="22"/>
      <c r="H4" s="22"/>
      <c r="I4" s="22"/>
    </row>
    <row r="5" customFormat="false" ht="15" hidden="false" customHeight="true" outlineLevel="0" collapsed="false">
      <c r="A5" s="7" t="s">
        <v>73</v>
      </c>
      <c r="B5" s="13" t="n">
        <v>800</v>
      </c>
      <c r="C5" s="13" t="n">
        <v>850</v>
      </c>
      <c r="D5" s="13" t="n">
        <v>900</v>
      </c>
      <c r="E5" s="22"/>
      <c r="F5" s="22"/>
      <c r="G5" s="22"/>
      <c r="H5" s="22"/>
      <c r="I5" s="22"/>
    </row>
    <row r="6" customFormat="false" ht="15" hidden="false" customHeight="true" outlineLevel="0" collapsed="false">
      <c r="A6" s="7" t="s">
        <v>74</v>
      </c>
      <c r="B6" s="13" t="n">
        <v>3200</v>
      </c>
      <c r="C6" s="13" t="n">
        <v>3500</v>
      </c>
      <c r="D6" s="13" t="n">
        <v>3750</v>
      </c>
      <c r="E6" s="22"/>
      <c r="F6" s="22"/>
      <c r="G6" s="22"/>
      <c r="H6" s="22"/>
      <c r="I6" s="22"/>
    </row>
    <row r="7" customFormat="false" ht="15" hidden="false" customHeight="true" outlineLevel="0" collapsed="false">
      <c r="A7" s="7" t="s">
        <v>75</v>
      </c>
      <c r="B7" s="13" t="n">
        <v>12000</v>
      </c>
      <c r="C7" s="13" t="n">
        <v>13200</v>
      </c>
      <c r="D7" s="13" t="n">
        <v>14400</v>
      </c>
      <c r="E7" s="22"/>
      <c r="F7" s="22"/>
      <c r="G7" s="22"/>
      <c r="H7" s="22"/>
      <c r="I7" s="22"/>
    </row>
    <row r="8" customFormat="false" ht="15" hidden="false" customHeight="true" outlineLevel="0" collapsed="false">
      <c r="A8" s="7" t="s">
        <v>76</v>
      </c>
      <c r="B8" s="13" t="n">
        <v>-220</v>
      </c>
      <c r="C8" s="13" t="n">
        <v>-240</v>
      </c>
      <c r="D8" s="13" t="n">
        <v>-260</v>
      </c>
      <c r="E8" s="22"/>
      <c r="F8" s="22"/>
      <c r="G8" s="22"/>
      <c r="H8" s="22"/>
      <c r="I8" s="22"/>
    </row>
    <row r="9" customFormat="false" ht="15" hidden="false" customHeight="true" outlineLevel="0" collapsed="false">
      <c r="A9" s="23" t="s">
        <v>77</v>
      </c>
      <c r="B9" s="24" t="n">
        <f aca="false">B7+B8</f>
        <v>11780</v>
      </c>
      <c r="C9" s="24" t="n">
        <f aca="false">C7+C8</f>
        <v>12960</v>
      </c>
      <c r="D9" s="24" t="n">
        <f aca="false">D7+D8</f>
        <v>14140</v>
      </c>
      <c r="E9" s="24" t="n">
        <f aca="false">E7+E8</f>
        <v>0</v>
      </c>
      <c r="F9" s="24" t="n">
        <f aca="false">F7+F8</f>
        <v>0</v>
      </c>
      <c r="G9" s="24" t="n">
        <f aca="false">G7+G8</f>
        <v>0</v>
      </c>
      <c r="H9" s="24" t="n">
        <f aca="false">H7+H8</f>
        <v>0</v>
      </c>
      <c r="I9" s="24" t="n">
        <f aca="false">I7+I8</f>
        <v>0</v>
      </c>
    </row>
    <row r="10" customFormat="false" ht="15" hidden="false" customHeight="true" outlineLevel="0" collapsed="false">
      <c r="A10" s="7" t="s">
        <v>78</v>
      </c>
      <c r="B10" s="13" t="n">
        <v>420</v>
      </c>
      <c r="C10" s="13" t="n">
        <v>415</v>
      </c>
      <c r="D10" s="13" t="n">
        <v>410</v>
      </c>
      <c r="E10" s="22"/>
      <c r="F10" s="22"/>
      <c r="G10" s="22"/>
      <c r="H10" s="22"/>
      <c r="I10" s="22"/>
    </row>
    <row r="11" customFormat="false" ht="15" hidden="false" customHeight="true" outlineLevel="0" collapsed="false">
      <c r="A11" s="7" t="s">
        <v>79</v>
      </c>
      <c r="B11" s="13" t="n">
        <v>380</v>
      </c>
      <c r="C11" s="13" t="n">
        <v>375</v>
      </c>
      <c r="D11" s="13" t="n">
        <v>370</v>
      </c>
      <c r="E11" s="22"/>
      <c r="F11" s="22"/>
      <c r="G11" s="22"/>
      <c r="H11" s="22"/>
      <c r="I11" s="22"/>
    </row>
    <row r="12" customFormat="false" ht="15" hidden="false" customHeight="true" outlineLevel="0" collapsed="false">
      <c r="A12" s="7" t="s">
        <v>80</v>
      </c>
      <c r="B12" s="13" t="n">
        <v>350</v>
      </c>
      <c r="C12" s="13" t="n">
        <v>370</v>
      </c>
      <c r="D12" s="13" t="n">
        <v>390</v>
      </c>
      <c r="E12" s="22"/>
      <c r="F12" s="22"/>
      <c r="G12" s="22"/>
      <c r="H12" s="22"/>
      <c r="I12" s="22"/>
    </row>
    <row r="13" customFormat="false" ht="15" hidden="false" customHeight="true" outlineLevel="0" collapsed="false">
      <c r="A13" s="25" t="s">
        <v>81</v>
      </c>
      <c r="B13" s="26" t="n">
        <f aca="false">B4+B5+B6+B9+B10+B11+B12</f>
        <v>18130</v>
      </c>
      <c r="C13" s="26" t="n">
        <f aca="false">C4+C5+C6+C9+C10+C11+C12</f>
        <v>19820</v>
      </c>
      <c r="D13" s="26" t="n">
        <f aca="false">D4+D5+D6+D9+D10+D11+D12</f>
        <v>21410</v>
      </c>
      <c r="E13" s="26" t="n">
        <f aca="false">E4+E5+E6+E9+E10+E11+E12</f>
        <v>0</v>
      </c>
      <c r="F13" s="26" t="n">
        <f aca="false">F4+F5+F6+F9+F10+F11+F12</f>
        <v>0</v>
      </c>
      <c r="G13" s="26" t="n">
        <f aca="false">G4+G5+G6+G9+G10+G11+G12</f>
        <v>0</v>
      </c>
      <c r="H13" s="26" t="n">
        <f aca="false">H4+H5+H6+H9+H10+H11+H12</f>
        <v>0</v>
      </c>
      <c r="I13" s="26" t="n">
        <f aca="false">I4+I5+I6+I9+I10+I11+I12</f>
        <v>0</v>
      </c>
    </row>
    <row r="15" customFormat="false" ht="15" hidden="false" customHeight="true" outlineLevel="0" collapsed="false">
      <c r="A15" s="5" t="s">
        <v>82</v>
      </c>
      <c r="B15" s="5"/>
      <c r="C15" s="5"/>
      <c r="D15" s="5"/>
      <c r="E15" s="5"/>
      <c r="F15" s="5"/>
      <c r="G15" s="5"/>
      <c r="H15" s="6"/>
      <c r="I15" s="6"/>
    </row>
    <row r="16" customFormat="false" ht="15" hidden="false" customHeight="true" outlineLevel="0" collapsed="false">
      <c r="A16" s="7" t="s">
        <v>83</v>
      </c>
      <c r="B16" s="13" t="n">
        <v>5500</v>
      </c>
      <c r="C16" s="13" t="n">
        <v>6000</v>
      </c>
      <c r="D16" s="13" t="n">
        <v>6500</v>
      </c>
      <c r="E16" s="22"/>
      <c r="F16" s="22"/>
      <c r="G16" s="22"/>
      <c r="H16" s="22"/>
      <c r="I16" s="22"/>
    </row>
    <row r="17" customFormat="false" ht="15" hidden="false" customHeight="true" outlineLevel="0" collapsed="false">
      <c r="A17" s="7" t="s">
        <v>84</v>
      </c>
      <c r="B17" s="13" t="n">
        <v>4000</v>
      </c>
      <c r="C17" s="13" t="n">
        <v>4400</v>
      </c>
      <c r="D17" s="13" t="n">
        <v>4800</v>
      </c>
      <c r="E17" s="22"/>
      <c r="F17" s="22"/>
      <c r="G17" s="22"/>
      <c r="H17" s="22"/>
      <c r="I17" s="22"/>
    </row>
    <row r="18" customFormat="false" ht="15" hidden="false" customHeight="true" outlineLevel="0" collapsed="false">
      <c r="A18" s="23" t="s">
        <v>85</v>
      </c>
      <c r="B18" s="24" t="n">
        <f aca="false">B16+B17</f>
        <v>9500</v>
      </c>
      <c r="C18" s="24" t="n">
        <f aca="false">C16+C17</f>
        <v>10400</v>
      </c>
      <c r="D18" s="24" t="n">
        <f aca="false">D16+D17</f>
        <v>11300</v>
      </c>
      <c r="E18" s="24" t="n">
        <f aca="false">E16+E17</f>
        <v>0</v>
      </c>
      <c r="F18" s="24" t="n">
        <f aca="false">F16+F17</f>
        <v>0</v>
      </c>
      <c r="G18" s="24" t="n">
        <f aca="false">G16+G17</f>
        <v>0</v>
      </c>
      <c r="H18" s="24" t="n">
        <f aca="false">H16+H17</f>
        <v>0</v>
      </c>
      <c r="I18" s="24" t="n">
        <f aca="false">I16+I17</f>
        <v>0</v>
      </c>
    </row>
    <row r="19" customFormat="false" ht="15" hidden="false" customHeight="true" outlineLevel="0" collapsed="false">
      <c r="A19" s="7" t="s">
        <v>86</v>
      </c>
      <c r="B19" s="13" t="n">
        <v>700</v>
      </c>
      <c r="C19" s="13" t="n">
        <v>750</v>
      </c>
      <c r="D19" s="13" t="n">
        <v>800</v>
      </c>
      <c r="E19" s="22"/>
      <c r="F19" s="22"/>
      <c r="G19" s="22"/>
      <c r="H19" s="22"/>
      <c r="I19" s="22"/>
    </row>
    <row r="20" customFormat="false" ht="15" hidden="false" customHeight="true" outlineLevel="0" collapsed="false">
      <c r="A20" s="7" t="s">
        <v>87</v>
      </c>
      <c r="B20" s="13" t="n">
        <v>1200</v>
      </c>
      <c r="C20" s="13" t="n">
        <v>1300</v>
      </c>
      <c r="D20" s="13" t="n">
        <v>1350</v>
      </c>
      <c r="E20" s="22"/>
      <c r="F20" s="22"/>
      <c r="G20" s="22"/>
      <c r="H20" s="22"/>
      <c r="I20" s="22"/>
    </row>
    <row r="21" customFormat="false" ht="15" hidden="false" customHeight="true" outlineLevel="0" collapsed="false">
      <c r="A21" s="7" t="s">
        <v>88</v>
      </c>
      <c r="B21" s="13" t="n">
        <v>400</v>
      </c>
      <c r="C21" s="13" t="n">
        <v>400</v>
      </c>
      <c r="D21" s="13" t="n">
        <v>400</v>
      </c>
      <c r="E21" s="22"/>
      <c r="F21" s="22"/>
      <c r="G21" s="22"/>
      <c r="H21" s="22"/>
      <c r="I21" s="22"/>
    </row>
    <row r="22" customFormat="false" ht="15" hidden="false" customHeight="true" outlineLevel="0" collapsed="false">
      <c r="A22" s="7" t="s">
        <v>89</v>
      </c>
      <c r="B22" s="13" t="n">
        <v>280</v>
      </c>
      <c r="C22" s="13" t="n">
        <v>295</v>
      </c>
      <c r="D22" s="13" t="n">
        <v>310</v>
      </c>
      <c r="E22" s="22"/>
      <c r="F22" s="22"/>
      <c r="G22" s="22"/>
      <c r="H22" s="22"/>
      <c r="I22" s="22"/>
    </row>
    <row r="23" customFormat="false" ht="15" hidden="false" customHeight="true" outlineLevel="0" collapsed="false">
      <c r="A23" s="25" t="s">
        <v>90</v>
      </c>
      <c r="B23" s="26" t="n">
        <f aca="false">B18+B19+B20+B21+B22</f>
        <v>12080</v>
      </c>
      <c r="C23" s="26" t="n">
        <f aca="false">C18+C19+C20+C21+C22</f>
        <v>13145</v>
      </c>
      <c r="D23" s="26" t="n">
        <f aca="false">D18+D19+D20+D21+D22</f>
        <v>14160</v>
      </c>
      <c r="E23" s="26" t="n">
        <f aca="false">E18+E19+E20+E21+E22</f>
        <v>0</v>
      </c>
      <c r="F23" s="26" t="n">
        <f aca="false">F18+F19+F20+F21+F22</f>
        <v>0</v>
      </c>
      <c r="G23" s="26" t="n">
        <f aca="false">G18+G19+G20+G21+G22</f>
        <v>0</v>
      </c>
      <c r="H23" s="26" t="n">
        <f aca="false">H18+H19+H20+H21+H22</f>
        <v>0</v>
      </c>
      <c r="I23" s="26" t="n">
        <f aca="false">I18+I19+I20+I21+I22</f>
        <v>0</v>
      </c>
    </row>
    <row r="25" customFormat="false" ht="15" hidden="false" customHeight="true" outlineLevel="0" collapsed="false">
      <c r="A25" s="5" t="s">
        <v>91</v>
      </c>
      <c r="B25" s="5"/>
      <c r="C25" s="5"/>
      <c r="D25" s="5"/>
      <c r="E25" s="5"/>
      <c r="F25" s="5"/>
      <c r="G25" s="5"/>
      <c r="H25" s="6"/>
      <c r="I25" s="6"/>
    </row>
    <row r="26" customFormat="false" ht="15" hidden="false" customHeight="true" outlineLevel="0" collapsed="false">
      <c r="A26" s="7" t="s">
        <v>92</v>
      </c>
      <c r="B26" s="13" t="n">
        <v>900</v>
      </c>
      <c r="C26" s="13" t="n">
        <v>900</v>
      </c>
      <c r="D26" s="13" t="n">
        <v>900</v>
      </c>
      <c r="E26" s="22"/>
      <c r="F26" s="22"/>
      <c r="G26" s="22"/>
      <c r="H26" s="22"/>
      <c r="I26" s="22"/>
    </row>
    <row r="27" customFormat="false" ht="15" hidden="false" customHeight="true" outlineLevel="0" collapsed="false">
      <c r="A27" s="7" t="s">
        <v>93</v>
      </c>
      <c r="B27" s="13" t="n">
        <v>1250</v>
      </c>
      <c r="C27" s="13" t="n">
        <v>1380</v>
      </c>
      <c r="D27" s="13" t="n">
        <v>1530</v>
      </c>
      <c r="E27" s="22"/>
      <c r="F27" s="22"/>
      <c r="G27" s="22"/>
      <c r="H27" s="22"/>
      <c r="I27" s="22"/>
    </row>
    <row r="28" customFormat="false" ht="15" hidden="false" customHeight="true" outlineLevel="0" collapsed="false">
      <c r="A28" s="7" t="s">
        <v>94</v>
      </c>
      <c r="B28" s="13" t="n">
        <v>80</v>
      </c>
      <c r="C28" s="13" t="n">
        <v>75</v>
      </c>
      <c r="D28" s="13" t="n">
        <v>70</v>
      </c>
      <c r="E28" s="22"/>
      <c r="F28" s="22"/>
      <c r="G28" s="22"/>
      <c r="H28" s="22"/>
      <c r="I28" s="22"/>
    </row>
    <row r="29" customFormat="false" ht="15" hidden="false" customHeight="true" outlineLevel="0" collapsed="false">
      <c r="A29" s="7" t="s">
        <v>95</v>
      </c>
      <c r="B29" s="13" t="n">
        <v>300</v>
      </c>
      <c r="C29" s="13" t="n">
        <v>300</v>
      </c>
      <c r="D29" s="13" t="n">
        <v>300</v>
      </c>
      <c r="E29" s="22"/>
      <c r="F29" s="22"/>
      <c r="G29" s="22"/>
      <c r="H29" s="22"/>
      <c r="I29" s="22"/>
    </row>
    <row r="30" customFormat="false" ht="15" hidden="false" customHeight="true" outlineLevel="0" collapsed="false">
      <c r="A30" s="23" t="s">
        <v>96</v>
      </c>
      <c r="B30" s="24" t="n">
        <f aca="false">SUM(B26:B29)</f>
        <v>2530</v>
      </c>
      <c r="C30" s="24" t="n">
        <f aca="false">SUM(C26:C29)</f>
        <v>2655</v>
      </c>
      <c r="D30" s="24" t="n">
        <f aca="false">SUM(D26:D29)</f>
        <v>2800</v>
      </c>
      <c r="E30" s="24" t="n">
        <f aca="false">SUM(E26:E29)</f>
        <v>0</v>
      </c>
      <c r="F30" s="24" t="n">
        <f aca="false">SUM(F26:F29)</f>
        <v>0</v>
      </c>
      <c r="G30" s="24" t="n">
        <f aca="false">SUM(G26:G29)</f>
        <v>0</v>
      </c>
      <c r="H30" s="24" t="n">
        <f aca="false">SUM(H26:H29)</f>
        <v>0</v>
      </c>
      <c r="I30" s="24" t="n">
        <f aca="false">SUM(I26:I29)</f>
        <v>0</v>
      </c>
    </row>
    <row r="31" customFormat="false" ht="15" hidden="false" customHeight="true" outlineLevel="0" collapsed="false">
      <c r="A31" s="25" t="s">
        <v>97</v>
      </c>
      <c r="B31" s="26" t="n">
        <f aca="false">B23+B30</f>
        <v>14610</v>
      </c>
      <c r="C31" s="26" t="n">
        <f aca="false">C23+C30</f>
        <v>15800</v>
      </c>
      <c r="D31" s="26" t="n">
        <f aca="false">D23+D30</f>
        <v>16960</v>
      </c>
      <c r="E31" s="26" t="n">
        <f aca="false">E23+E30</f>
        <v>0</v>
      </c>
      <c r="F31" s="26" t="n">
        <f aca="false">F23+F30</f>
        <v>0</v>
      </c>
      <c r="G31" s="26" t="n">
        <f aca="false">G23+G30</f>
        <v>0</v>
      </c>
      <c r="H31" s="26" t="n">
        <f aca="false">H23+H30</f>
        <v>0</v>
      </c>
      <c r="I31" s="26" t="n">
        <f aca="false">I23+I30</f>
        <v>0</v>
      </c>
    </row>
    <row r="33" customFormat="false" ht="15" hidden="false" customHeight="true" outlineLevel="0" collapsed="false">
      <c r="A33" s="5" t="s">
        <v>98</v>
      </c>
      <c r="B33" s="5"/>
      <c r="C33" s="5"/>
      <c r="D33" s="5"/>
      <c r="E33" s="5"/>
      <c r="F33" s="5"/>
      <c r="G33" s="5"/>
      <c r="H33" s="6"/>
      <c r="I33" s="6"/>
    </row>
    <row r="34" customFormat="false" ht="15" hidden="false" customHeight="true" outlineLevel="0" collapsed="false">
      <c r="A34" s="31" t="s">
        <v>99</v>
      </c>
      <c r="B34" s="32" t="n">
        <f aca="false">B13-B31</f>
        <v>3520</v>
      </c>
      <c r="C34" s="32" t="n">
        <f aca="false">C13-C31</f>
        <v>4020</v>
      </c>
      <c r="D34" s="32" t="n">
        <f aca="false">D13-D31</f>
        <v>4450</v>
      </c>
      <c r="E34" s="32" t="n">
        <f aca="false">E13-E31</f>
        <v>0</v>
      </c>
      <c r="F34" s="32" t="n">
        <f aca="false">F13-F31</f>
        <v>0</v>
      </c>
      <c r="G34" s="32" t="n">
        <f aca="false">G13-G31</f>
        <v>0</v>
      </c>
      <c r="H34" s="32" t="n">
        <f aca="false">H13-H31</f>
        <v>0</v>
      </c>
      <c r="I34" s="32" t="n">
        <f aca="false">I13-I31</f>
        <v>0</v>
      </c>
    </row>
    <row r="36" customFormat="false" ht="15" hidden="false" customHeight="true" outlineLevel="0" collapsed="false">
      <c r="A36" s="5" t="s">
        <v>100</v>
      </c>
      <c r="B36" s="5"/>
      <c r="C36" s="5"/>
      <c r="D36" s="5"/>
      <c r="E36" s="5"/>
      <c r="F36" s="5"/>
      <c r="G36" s="5"/>
      <c r="H36" s="6"/>
      <c r="I36" s="6"/>
    </row>
    <row r="37" customFormat="false" ht="15" hidden="false" customHeight="true" outlineLevel="0" collapsed="false">
      <c r="A37" s="7" t="s">
        <v>101</v>
      </c>
      <c r="B37" s="28" t="n">
        <f aca="false">IFERROR(B7/B18,"—")</f>
        <v>1.26315789473684</v>
      </c>
      <c r="C37" s="28" t="n">
        <f aca="false">IFERROR(C7/C18,"—")</f>
        <v>1.26923076923077</v>
      </c>
      <c r="D37" s="28" t="n">
        <f aca="false">IFERROR(D7/D18,"—")</f>
        <v>1.27433628318584</v>
      </c>
      <c r="E37" s="28" t="str">
        <f aca="false">IFERROR(E7/E18,"—")</f>
        <v>—</v>
      </c>
      <c r="F37" s="28" t="str">
        <f aca="false">IFERROR(F7/F18,"—")</f>
        <v>—</v>
      </c>
      <c r="G37" s="28" t="str">
        <f aca="false">IFERROR(G7/G18,"—")</f>
        <v>—</v>
      </c>
      <c r="H37" s="28" t="str">
        <f aca="false">IFERROR(H7/H18,"—")</f>
        <v>—</v>
      </c>
      <c r="I37" s="28" t="str">
        <f aca="false">IFERROR(I7/I18,"—")</f>
        <v>—</v>
      </c>
    </row>
    <row r="38" customFormat="false" ht="15" hidden="false" customHeight="true" outlineLevel="0" collapsed="false">
      <c r="A38" s="7" t="s">
        <v>102</v>
      </c>
      <c r="B38" s="28" t="n">
        <f aca="false">IFERROR(B16/B18,"—")</f>
        <v>0.578947368421053</v>
      </c>
      <c r="C38" s="28" t="n">
        <f aca="false">IFERROR(C16/C18,"—")</f>
        <v>0.576923076923077</v>
      </c>
      <c r="D38" s="28" t="n">
        <f aca="false">IFERROR(D16/D18,"—")</f>
        <v>0.575221238938053</v>
      </c>
      <c r="E38" s="28" t="str">
        <f aca="false">IFERROR(E16/E18,"—")</f>
        <v>—</v>
      </c>
      <c r="F38" s="28" t="str">
        <f aca="false">IFERROR(F16/F18,"—")</f>
        <v>—</v>
      </c>
      <c r="G38" s="28" t="str">
        <f aca="false">IFERROR(G16/G18,"—")</f>
        <v>—</v>
      </c>
      <c r="H38" s="28" t="str">
        <f aca="false">IFERROR(H16/H18,"—")</f>
        <v>—</v>
      </c>
      <c r="I38" s="28" t="str">
        <f aca="false">IFERROR(I16/I18,"—")</f>
        <v>—</v>
      </c>
    </row>
    <row r="39" customFormat="false" ht="15" hidden="false" customHeight="true" outlineLevel="0" collapsed="false">
      <c r="A39" s="7" t="s">
        <v>25</v>
      </c>
      <c r="B39" s="27"/>
      <c r="C39" s="27"/>
      <c r="D39" s="27"/>
      <c r="E39" s="27"/>
      <c r="F39" s="27"/>
      <c r="G39" s="27"/>
      <c r="H39" s="27"/>
      <c r="I39" s="27"/>
    </row>
    <row r="40" customFormat="false" ht="15" hidden="false" customHeight="true" outlineLevel="0" collapsed="false">
      <c r="A40" s="7" t="s">
        <v>103</v>
      </c>
      <c r="B40" s="28"/>
      <c r="C40" s="28"/>
      <c r="D40" s="28"/>
      <c r="E40" s="28"/>
      <c r="F40" s="28"/>
      <c r="G40" s="28"/>
      <c r="H40" s="28"/>
      <c r="I40" s="28"/>
    </row>
    <row r="41" customFormat="false" ht="15" hidden="false" customHeight="true" outlineLevel="0" collapsed="false">
      <c r="A41" s="7" t="s">
        <v>104</v>
      </c>
      <c r="B41" s="33" t="n">
        <f aca="false">IFERROR(B13/B30,"—")</f>
        <v>7.16600790513834</v>
      </c>
      <c r="C41" s="33" t="n">
        <f aca="false">IFERROR(C13/C30,"—")</f>
        <v>7.46516007532957</v>
      </c>
      <c r="D41" s="33" t="n">
        <f aca="false">IFERROR(D13/D30,"—")</f>
        <v>7.64642857142857</v>
      </c>
      <c r="E41" s="33" t="str">
        <f aca="false">IFERROR(E13/E30,"—")</f>
        <v>—</v>
      </c>
      <c r="F41" s="33" t="str">
        <f aca="false">IFERROR(F13/F30,"—")</f>
        <v>—</v>
      </c>
      <c r="G41" s="33" t="str">
        <f aca="false">IFERROR(G13/G30,"—")</f>
        <v>—</v>
      </c>
      <c r="H41" s="33" t="str">
        <f aca="false">IFERROR(H13/H30,"—")</f>
        <v>—</v>
      </c>
      <c r="I41" s="33" t="str">
        <f aca="false">IFERROR(I13/I30,"—")</f>
        <v>—</v>
      </c>
    </row>
  </sheetData>
  <mergeCells count="6">
    <mergeCell ref="A1:G1"/>
    <mergeCell ref="A3:G3"/>
    <mergeCell ref="A15:G15"/>
    <mergeCell ref="A25:G25"/>
    <mergeCell ref="A33:G33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480E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0" t="s">
        <v>106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true" outlineLevel="0" collapsed="false">
      <c r="A3" s="5" t="s">
        <v>107</v>
      </c>
      <c r="B3" s="5"/>
      <c r="C3" s="5"/>
      <c r="D3" s="5"/>
      <c r="E3" s="5"/>
      <c r="F3" s="5"/>
      <c r="G3" s="5"/>
      <c r="H3" s="6"/>
      <c r="I3" s="6"/>
    </row>
    <row r="4" customFormat="false" ht="15" hidden="false" customHeight="true" outlineLevel="0" collapsed="false">
      <c r="A4" s="7" t="s">
        <v>108</v>
      </c>
      <c r="B4" s="13" t="n">
        <v>1200</v>
      </c>
      <c r="C4" s="13" t="n">
        <v>1320</v>
      </c>
      <c r="D4" s="13" t="n">
        <v>1460</v>
      </c>
      <c r="E4" s="22"/>
      <c r="F4" s="22"/>
      <c r="G4" s="22"/>
      <c r="H4" s="22"/>
      <c r="I4" s="22"/>
    </row>
    <row r="5" customFormat="false" ht="15" hidden="false" customHeight="true" outlineLevel="0" collapsed="false">
      <c r="A5" s="7" t="s">
        <v>109</v>
      </c>
      <c r="B5" s="13" t="n">
        <v>300</v>
      </c>
      <c r="C5" s="13" t="n">
        <v>300</v>
      </c>
      <c r="D5" s="13" t="n">
        <v>300</v>
      </c>
      <c r="E5" s="22"/>
      <c r="F5" s="22"/>
      <c r="G5" s="22"/>
      <c r="H5" s="22"/>
      <c r="I5" s="22"/>
    </row>
    <row r="6" customFormat="false" ht="15" hidden="false" customHeight="true" outlineLevel="0" collapsed="false">
      <c r="A6" s="7" t="s">
        <v>110</v>
      </c>
      <c r="B6" s="13" t="n">
        <v>450</v>
      </c>
      <c r="C6" s="13" t="n">
        <v>455</v>
      </c>
      <c r="D6" s="13" t="n">
        <v>460</v>
      </c>
      <c r="E6" s="22"/>
      <c r="F6" s="22"/>
      <c r="G6" s="22"/>
      <c r="H6" s="22"/>
      <c r="I6" s="22"/>
    </row>
    <row r="8" customFormat="false" ht="15" hidden="false" customHeight="true" outlineLevel="0" collapsed="false">
      <c r="A8" s="5" t="s">
        <v>111</v>
      </c>
      <c r="B8" s="5"/>
      <c r="C8" s="5"/>
      <c r="D8" s="5"/>
      <c r="E8" s="5"/>
      <c r="F8" s="5"/>
      <c r="G8" s="5"/>
      <c r="H8" s="6"/>
      <c r="I8" s="6"/>
    </row>
    <row r="9" customFormat="false" ht="15" hidden="false" customHeight="true" outlineLevel="0" collapsed="false">
      <c r="A9" s="7" t="s">
        <v>112</v>
      </c>
      <c r="B9" s="13" t="n">
        <v>8500</v>
      </c>
      <c r="C9" s="13" t="n">
        <v>9350</v>
      </c>
      <c r="D9" s="13" t="n">
        <v>10200</v>
      </c>
      <c r="E9" s="22"/>
      <c r="F9" s="22"/>
      <c r="G9" s="22"/>
      <c r="H9" s="22"/>
      <c r="I9" s="22"/>
    </row>
    <row r="10" customFormat="false" ht="15" hidden="false" customHeight="true" outlineLevel="0" collapsed="false">
      <c r="A10" s="7" t="s">
        <v>113</v>
      </c>
      <c r="B10" s="13" t="n">
        <v>800</v>
      </c>
      <c r="C10" s="13" t="n">
        <v>850</v>
      </c>
      <c r="D10" s="13" t="n">
        <v>900</v>
      </c>
      <c r="E10" s="22"/>
      <c r="F10" s="22"/>
      <c r="G10" s="22"/>
      <c r="H10" s="22"/>
      <c r="I10" s="22"/>
    </row>
    <row r="11" customFormat="false" ht="15" hidden="false" customHeight="true" outlineLevel="0" collapsed="false">
      <c r="A11" s="7" t="s">
        <v>114</v>
      </c>
      <c r="B11" s="13" t="n">
        <v>600</v>
      </c>
      <c r="C11" s="13" t="n">
        <v>640</v>
      </c>
      <c r="D11" s="13" t="n">
        <v>680</v>
      </c>
      <c r="E11" s="22"/>
      <c r="F11" s="22"/>
      <c r="G11" s="22"/>
      <c r="H11" s="22"/>
      <c r="I11" s="22"/>
    </row>
    <row r="13" customFormat="false" ht="15" hidden="false" customHeight="true" outlineLevel="0" collapsed="false">
      <c r="A13" s="5" t="s">
        <v>115</v>
      </c>
      <c r="B13" s="5"/>
      <c r="C13" s="5"/>
      <c r="D13" s="5"/>
      <c r="E13" s="5"/>
      <c r="F13" s="5"/>
      <c r="G13" s="5"/>
      <c r="H13" s="6"/>
      <c r="I13" s="6"/>
    </row>
    <row r="14" customFormat="false" ht="15" hidden="false" customHeight="true" outlineLevel="0" collapsed="false">
      <c r="A14" s="7" t="s">
        <v>103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7" t="s">
        <v>116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7" t="s">
        <v>117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7" t="s">
        <v>118</v>
      </c>
      <c r="B17" s="9" t="n">
        <v>0.085</v>
      </c>
      <c r="C17" s="9" t="n">
        <v>0.085</v>
      </c>
      <c r="D17" s="9" t="n">
        <v>0.085</v>
      </c>
      <c r="E17" s="9" t="n">
        <v>0.085</v>
      </c>
      <c r="F17" s="9" t="n">
        <v>0.085</v>
      </c>
      <c r="G17" s="9" t="n">
        <v>0.085</v>
      </c>
      <c r="H17" s="9"/>
      <c r="I17" s="9"/>
    </row>
    <row r="18" customFormat="false" ht="15" hidden="false" customHeight="true" outlineLevel="0" collapsed="false">
      <c r="A18" s="7" t="s">
        <v>119</v>
      </c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G1"/>
    <mergeCell ref="A3:G3"/>
    <mergeCell ref="A8:G8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120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0" t="s">
        <v>41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true" outlineLevel="0" collapsed="false">
      <c r="A3" s="34" t="s">
        <v>121</v>
      </c>
      <c r="B3" s="35" t="n">
        <v>1050</v>
      </c>
      <c r="C3" s="35" t="n">
        <v>1200</v>
      </c>
      <c r="D3" s="35" t="n">
        <v>1350</v>
      </c>
      <c r="E3" s="36"/>
      <c r="F3" s="36"/>
      <c r="G3" s="36"/>
      <c r="H3" s="36"/>
      <c r="I3" s="36"/>
    </row>
    <row r="4" customFormat="false" ht="15" hidden="false" customHeight="true" outlineLevel="0" collapsed="false">
      <c r="A4" s="5" t="s">
        <v>122</v>
      </c>
      <c r="B4" s="5"/>
      <c r="C4" s="5"/>
      <c r="D4" s="5"/>
      <c r="E4" s="5"/>
      <c r="F4" s="5"/>
      <c r="G4" s="5"/>
      <c r="H4" s="6"/>
      <c r="I4" s="6"/>
    </row>
    <row r="5" customFormat="false" ht="15" hidden="false" customHeight="true" outlineLevel="0" collapsed="false">
      <c r="A5" s="7" t="s">
        <v>123</v>
      </c>
      <c r="B5" s="13" t="n">
        <v>455</v>
      </c>
      <c r="C5" s="13" t="n">
        <v>490</v>
      </c>
      <c r="D5" s="13" t="n">
        <v>562</v>
      </c>
      <c r="E5" s="22"/>
      <c r="F5" s="22"/>
      <c r="G5" s="22"/>
      <c r="H5" s="22"/>
      <c r="I5" s="22"/>
    </row>
    <row r="6" customFormat="false" ht="15" hidden="false" customHeight="true" outlineLevel="0" collapsed="false">
      <c r="A6" s="7" t="s">
        <v>124</v>
      </c>
      <c r="B6" s="13" t="n">
        <v>85</v>
      </c>
      <c r="C6" s="13" t="n">
        <v>88</v>
      </c>
      <c r="D6" s="13" t="n">
        <v>91</v>
      </c>
      <c r="E6" s="22"/>
      <c r="F6" s="22"/>
      <c r="G6" s="22"/>
      <c r="H6" s="22"/>
      <c r="I6" s="22"/>
    </row>
    <row r="7" customFormat="false" ht="15" hidden="false" customHeight="true" outlineLevel="0" collapsed="false">
      <c r="A7" s="7" t="s">
        <v>125</v>
      </c>
      <c r="B7" s="13" t="n">
        <v>185</v>
      </c>
      <c r="C7" s="13" t="n">
        <v>175</v>
      </c>
      <c r="D7" s="13" t="n">
        <v>160</v>
      </c>
      <c r="E7" s="22"/>
      <c r="F7" s="22"/>
      <c r="G7" s="22"/>
      <c r="H7" s="22"/>
      <c r="I7" s="22"/>
    </row>
    <row r="8" customFormat="false" ht="15" hidden="false" customHeight="true" outlineLevel="0" collapsed="false">
      <c r="A8" s="7" t="s">
        <v>126</v>
      </c>
      <c r="B8" s="22"/>
      <c r="C8" s="22"/>
      <c r="D8" s="22"/>
      <c r="E8" s="22"/>
      <c r="F8" s="22"/>
      <c r="G8" s="22"/>
      <c r="H8" s="22"/>
      <c r="I8" s="22"/>
    </row>
    <row r="9" customFormat="false" ht="15" hidden="false" customHeight="true" outlineLevel="0" collapsed="false">
      <c r="A9" s="7" t="s">
        <v>127</v>
      </c>
      <c r="B9" s="22"/>
      <c r="C9" s="22"/>
      <c r="D9" s="22"/>
      <c r="E9" s="22"/>
      <c r="F9" s="22"/>
      <c r="G9" s="22"/>
      <c r="H9" s="22"/>
      <c r="I9" s="22"/>
    </row>
    <row r="10" customFormat="false" ht="15" hidden="false" customHeight="true" outlineLevel="0" collapsed="false">
      <c r="A10" s="7" t="s">
        <v>128</v>
      </c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true" outlineLevel="0" collapsed="false">
      <c r="A11" s="23" t="s">
        <v>129</v>
      </c>
      <c r="B11" s="24" t="n">
        <f aca="false">SUM(B5:B10)</f>
        <v>725</v>
      </c>
      <c r="C11" s="24" t="n">
        <f aca="false">SUM(C5:C10)</f>
        <v>753</v>
      </c>
      <c r="D11" s="24" t="n">
        <f aca="false">SUM(D5:D10)</f>
        <v>813</v>
      </c>
      <c r="E11" s="24" t="n">
        <f aca="false">SUM(E5:E10)</f>
        <v>0</v>
      </c>
      <c r="F11" s="24" t="n">
        <f aca="false">SUM(F5:F10)</f>
        <v>0</v>
      </c>
      <c r="G11" s="24" t="n">
        <f aca="false">SUM(G5:G10)</f>
        <v>0</v>
      </c>
      <c r="H11" s="24" t="n">
        <f aca="false">SUM(H5:H10)</f>
        <v>0</v>
      </c>
      <c r="I11" s="24" t="n">
        <f aca="false">SUM(I5:I10)</f>
        <v>0</v>
      </c>
    </row>
    <row r="13" customFormat="false" ht="15" hidden="false" customHeight="true" outlineLevel="0" collapsed="false">
      <c r="A13" s="5" t="s">
        <v>130</v>
      </c>
      <c r="B13" s="5"/>
      <c r="C13" s="5"/>
      <c r="D13" s="5"/>
      <c r="E13" s="5"/>
      <c r="F13" s="5"/>
      <c r="G13" s="5"/>
      <c r="H13" s="6"/>
      <c r="I13" s="6"/>
    </row>
    <row r="14" customFormat="false" ht="15" hidden="false" customHeight="true" outlineLevel="0" collapsed="false">
      <c r="A14" s="7" t="s">
        <v>131</v>
      </c>
      <c r="B14" s="13" t="n">
        <v>-500</v>
      </c>
      <c r="C14" s="13" t="n">
        <v>-600</v>
      </c>
      <c r="D14" s="13" t="n">
        <v>-500</v>
      </c>
      <c r="E14" s="22"/>
      <c r="F14" s="22"/>
      <c r="G14" s="22"/>
      <c r="H14" s="22"/>
      <c r="I14" s="22"/>
    </row>
    <row r="15" customFormat="false" ht="15" hidden="false" customHeight="true" outlineLevel="0" collapsed="false">
      <c r="A15" s="7" t="s">
        <v>132</v>
      </c>
      <c r="B15" s="13" t="n">
        <v>300</v>
      </c>
      <c r="C15" s="13" t="n">
        <v>350</v>
      </c>
      <c r="D15" s="13" t="n">
        <v>400</v>
      </c>
      <c r="E15" s="22"/>
      <c r="F15" s="22"/>
      <c r="G15" s="22"/>
      <c r="H15" s="22"/>
      <c r="I15" s="22"/>
    </row>
    <row r="16" customFormat="false" ht="15" hidden="false" customHeight="true" outlineLevel="0" collapsed="false">
      <c r="A16" s="7" t="s">
        <v>133</v>
      </c>
      <c r="B16" s="13" t="n">
        <v>-95</v>
      </c>
      <c r="C16" s="13" t="n">
        <v>-100</v>
      </c>
      <c r="D16" s="13" t="n">
        <v>-105</v>
      </c>
      <c r="E16" s="22"/>
      <c r="F16" s="22"/>
      <c r="G16" s="22"/>
      <c r="H16" s="22"/>
      <c r="I16" s="22"/>
    </row>
    <row r="17" customFormat="false" ht="15" hidden="false" customHeight="true" outlineLevel="0" collapsed="false">
      <c r="A17" s="7" t="s">
        <v>134</v>
      </c>
      <c r="B17" s="13" t="n">
        <v>0</v>
      </c>
      <c r="C17" s="13" t="n">
        <v>0</v>
      </c>
      <c r="D17" s="13" t="n">
        <v>0</v>
      </c>
      <c r="E17" s="22"/>
      <c r="F17" s="22"/>
      <c r="G17" s="22"/>
      <c r="H17" s="22"/>
      <c r="I17" s="22"/>
    </row>
    <row r="18" customFormat="false" ht="15" hidden="false" customHeight="true" outlineLevel="0" collapsed="false">
      <c r="A18" s="23" t="s">
        <v>135</v>
      </c>
      <c r="B18" s="24" t="n">
        <f aca="false">SUM(B14:B17)</f>
        <v>-295</v>
      </c>
      <c r="C18" s="24" t="n">
        <f aca="false">SUM(C14:C17)</f>
        <v>-350</v>
      </c>
      <c r="D18" s="24" t="n">
        <f aca="false">SUM(D14:D17)</f>
        <v>-205</v>
      </c>
      <c r="E18" s="24" t="n">
        <f aca="false">SUM(E14:E17)</f>
        <v>0</v>
      </c>
      <c r="F18" s="24" t="n">
        <f aca="false">SUM(F14:F17)</f>
        <v>0</v>
      </c>
      <c r="G18" s="24" t="n">
        <f aca="false">SUM(G14:G17)</f>
        <v>0</v>
      </c>
      <c r="H18" s="24" t="n">
        <f aca="false">SUM(H14:H17)</f>
        <v>0</v>
      </c>
      <c r="I18" s="24" t="n">
        <f aca="false">SUM(I14:I17)</f>
        <v>0</v>
      </c>
    </row>
    <row r="20" customFormat="false" ht="15" hidden="false" customHeight="true" outlineLevel="0" collapsed="false">
      <c r="A20" s="5" t="s">
        <v>136</v>
      </c>
      <c r="B20" s="5"/>
      <c r="C20" s="5"/>
      <c r="D20" s="5"/>
      <c r="E20" s="5"/>
      <c r="F20" s="5"/>
      <c r="G20" s="5"/>
      <c r="H20" s="6"/>
      <c r="I20" s="6"/>
    </row>
    <row r="21" customFormat="false" ht="15" hidden="false" customHeight="true" outlineLevel="0" collapsed="false">
      <c r="A21" s="7" t="s">
        <v>137</v>
      </c>
      <c r="B21" s="13" t="n">
        <v>-180</v>
      </c>
      <c r="C21" s="13" t="n">
        <v>-196</v>
      </c>
      <c r="D21" s="13" t="n">
        <v>-225</v>
      </c>
      <c r="E21" s="22"/>
      <c r="F21" s="22"/>
      <c r="G21" s="22"/>
      <c r="H21" s="22"/>
      <c r="I21" s="22"/>
    </row>
    <row r="22" customFormat="false" ht="15" hidden="false" customHeight="true" outlineLevel="0" collapsed="false">
      <c r="A22" s="7" t="s">
        <v>138</v>
      </c>
      <c r="B22" s="13" t="n">
        <v>300</v>
      </c>
      <c r="C22" s="13" t="n">
        <v>200</v>
      </c>
      <c r="D22" s="13" t="n">
        <v>150</v>
      </c>
      <c r="E22" s="22"/>
      <c r="F22" s="22"/>
      <c r="G22" s="22"/>
      <c r="H22" s="22"/>
      <c r="I22" s="22"/>
    </row>
    <row r="23" customFormat="false" ht="15" hidden="false" customHeight="true" outlineLevel="0" collapsed="false">
      <c r="A23" s="7" t="s">
        <v>139</v>
      </c>
      <c r="B23" s="13" t="n">
        <v>-150</v>
      </c>
      <c r="C23" s="13" t="n">
        <v>-200</v>
      </c>
      <c r="D23" s="13" t="n">
        <v>-200</v>
      </c>
      <c r="E23" s="22"/>
      <c r="F23" s="22"/>
      <c r="G23" s="22"/>
      <c r="H23" s="22"/>
      <c r="I23" s="22"/>
    </row>
    <row r="24" customFormat="false" ht="15" hidden="false" customHeight="true" outlineLevel="0" collapsed="false">
      <c r="A24" s="7" t="s">
        <v>140</v>
      </c>
      <c r="B24" s="13" t="n">
        <v>0</v>
      </c>
      <c r="C24" s="13" t="n">
        <v>0</v>
      </c>
      <c r="D24" s="13" t="n">
        <v>0</v>
      </c>
      <c r="E24" s="22"/>
      <c r="F24" s="22"/>
      <c r="G24" s="22"/>
      <c r="H24" s="22"/>
      <c r="I24" s="22"/>
    </row>
    <row r="25" customFormat="false" ht="15" hidden="false" customHeight="true" outlineLevel="0" collapsed="false">
      <c r="A25" s="23" t="s">
        <v>141</v>
      </c>
      <c r="B25" s="24" t="n">
        <f aca="false">SUM(B21:B24)</f>
        <v>-30</v>
      </c>
      <c r="C25" s="24" t="n">
        <f aca="false">SUM(C21:C24)</f>
        <v>-196</v>
      </c>
      <c r="D25" s="24" t="n">
        <f aca="false">SUM(D21:D24)</f>
        <v>-275</v>
      </c>
      <c r="E25" s="24" t="n">
        <f aca="false">SUM(E21:E24)</f>
        <v>0</v>
      </c>
      <c r="F25" s="24" t="n">
        <f aca="false">SUM(F21:F24)</f>
        <v>0</v>
      </c>
      <c r="G25" s="24" t="n">
        <f aca="false">SUM(G21:G24)</f>
        <v>0</v>
      </c>
      <c r="H25" s="24" t="n">
        <f aca="false">SUM(H21:H24)</f>
        <v>0</v>
      </c>
      <c r="I25" s="24" t="n">
        <f aca="false">SUM(I21:I24)</f>
        <v>0</v>
      </c>
    </row>
    <row r="27" customFormat="false" ht="15" hidden="false" customHeight="true" outlineLevel="0" collapsed="false">
      <c r="A27" s="25" t="s">
        <v>142</v>
      </c>
      <c r="B27" s="26" t="n">
        <f aca="false">B11+B18+B25</f>
        <v>400</v>
      </c>
      <c r="C27" s="26" t="n">
        <f aca="false">C11+C18+C25</f>
        <v>207</v>
      </c>
      <c r="D27" s="26" t="n">
        <f aca="false">D11+D18+D25</f>
        <v>333</v>
      </c>
      <c r="E27" s="26" t="n">
        <f aca="false">E11+E18+E25</f>
        <v>0</v>
      </c>
      <c r="F27" s="26" t="n">
        <f aca="false">F11+F18+F25</f>
        <v>0</v>
      </c>
      <c r="G27" s="26" t="n">
        <f aca="false">G11+G18+G25</f>
        <v>0</v>
      </c>
      <c r="H27" s="26" t="n">
        <f aca="false">H11+H18+H25</f>
        <v>0</v>
      </c>
      <c r="I27" s="26" t="n">
        <f aca="false">I11+I18+I25</f>
        <v>0</v>
      </c>
    </row>
    <row r="28" customFormat="false" ht="15" hidden="false" customHeight="true" outlineLevel="0" collapsed="false">
      <c r="A28" s="25" t="s">
        <v>143</v>
      </c>
      <c r="B28" s="26" t="n">
        <f aca="false">B3+B27</f>
        <v>1450</v>
      </c>
      <c r="C28" s="26" t="n">
        <f aca="false">C3+C27</f>
        <v>1407</v>
      </c>
      <c r="D28" s="26" t="n">
        <f aca="false">D3+D27</f>
        <v>1683</v>
      </c>
      <c r="E28" s="26" t="n">
        <f aca="false">E3+E27</f>
        <v>0</v>
      </c>
      <c r="F28" s="26" t="n">
        <f aca="false">F3+F27</f>
        <v>0</v>
      </c>
      <c r="G28" s="26" t="n">
        <f aca="false">G3+G27</f>
        <v>0</v>
      </c>
      <c r="H28" s="26" t="n">
        <f aca="false">H3+H27</f>
        <v>0</v>
      </c>
      <c r="I28" s="26" t="n">
        <f aca="false">I3+I27</f>
        <v>0</v>
      </c>
    </row>
  </sheetData>
  <mergeCells count="4">
    <mergeCell ref="A1:G1"/>
    <mergeCell ref="A4:G4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9" min="2" style="1" width="14"/>
  </cols>
  <sheetData>
    <row r="1" customFormat="false" ht="30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0" t="s">
        <v>145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true" outlineLevel="0" collapsed="false">
      <c r="A3" s="5" t="s">
        <v>146</v>
      </c>
      <c r="B3" s="5"/>
      <c r="C3" s="5"/>
      <c r="D3" s="5"/>
      <c r="E3" s="5"/>
      <c r="F3" s="5"/>
      <c r="G3" s="5"/>
      <c r="H3" s="6"/>
      <c r="I3" s="6"/>
    </row>
    <row r="4" customFormat="false" ht="15" hidden="false" customHeight="true" outlineLevel="0" collapsed="false">
      <c r="A4" s="7" t="s">
        <v>45</v>
      </c>
      <c r="B4" s="22"/>
      <c r="C4" s="22"/>
      <c r="D4" s="22"/>
      <c r="E4" s="22"/>
      <c r="F4" s="22"/>
      <c r="G4" s="22"/>
      <c r="H4" s="22"/>
      <c r="I4" s="22"/>
    </row>
    <row r="5" customFormat="false" ht="15" hidden="false" customHeight="true" outlineLevel="0" collapsed="false">
      <c r="A5" s="7" t="s">
        <v>50</v>
      </c>
      <c r="B5" s="22"/>
      <c r="C5" s="22"/>
      <c r="D5" s="22"/>
      <c r="E5" s="22"/>
      <c r="F5" s="22"/>
      <c r="G5" s="22"/>
      <c r="H5" s="22"/>
      <c r="I5" s="22"/>
    </row>
    <row r="6" customFormat="false" ht="15" hidden="false" customHeight="true" outlineLevel="0" collapsed="false">
      <c r="A6" s="7" t="s">
        <v>147</v>
      </c>
      <c r="B6" s="22"/>
      <c r="C6" s="22"/>
      <c r="D6" s="22"/>
      <c r="E6" s="22"/>
      <c r="F6" s="22"/>
      <c r="G6" s="22"/>
      <c r="H6" s="22"/>
      <c r="I6" s="22"/>
    </row>
    <row r="7" customFormat="false" ht="15" hidden="false" customHeight="true" outlineLevel="0" collapsed="false">
      <c r="A7" s="7" t="s">
        <v>123</v>
      </c>
      <c r="B7" s="22"/>
      <c r="C7" s="22"/>
      <c r="D7" s="22"/>
      <c r="E7" s="22"/>
      <c r="F7" s="22"/>
      <c r="G7" s="22"/>
      <c r="H7" s="22"/>
      <c r="I7" s="22"/>
    </row>
    <row r="9" customFormat="false" ht="15" hidden="false" customHeight="true" outlineLevel="0" collapsed="false">
      <c r="A9" s="5" t="s">
        <v>148</v>
      </c>
      <c r="B9" s="5"/>
      <c r="C9" s="5"/>
      <c r="D9" s="5"/>
      <c r="E9" s="5"/>
      <c r="F9" s="5"/>
      <c r="G9" s="5"/>
      <c r="H9" s="6"/>
      <c r="I9" s="6"/>
    </row>
    <row r="10" customFormat="false" ht="15" hidden="false" customHeight="true" outlineLevel="0" collapsed="false">
      <c r="A10" s="7" t="s">
        <v>149</v>
      </c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true" outlineLevel="0" collapsed="false">
      <c r="A11" s="7" t="s">
        <v>75</v>
      </c>
      <c r="B11" s="22"/>
      <c r="C11" s="22"/>
      <c r="D11" s="22"/>
      <c r="E11" s="22"/>
      <c r="F11" s="22"/>
      <c r="G11" s="22"/>
      <c r="H11" s="22"/>
      <c r="I11" s="22"/>
    </row>
    <row r="12" customFormat="false" ht="15" hidden="false" customHeight="true" outlineLevel="0" collapsed="false">
      <c r="A12" s="7" t="s">
        <v>85</v>
      </c>
      <c r="B12" s="22"/>
      <c r="C12" s="22"/>
      <c r="D12" s="22"/>
      <c r="E12" s="22"/>
      <c r="F12" s="22"/>
      <c r="G12" s="22"/>
      <c r="H12" s="22"/>
      <c r="I12" s="22"/>
    </row>
    <row r="13" customFormat="false" ht="15" hidden="false" customHeight="true" outlineLevel="0" collapsed="false">
      <c r="A13" s="7" t="s">
        <v>150</v>
      </c>
      <c r="B13" s="22"/>
      <c r="C13" s="22"/>
      <c r="D13" s="22"/>
      <c r="E13" s="22"/>
      <c r="F13" s="22"/>
      <c r="G13" s="22"/>
      <c r="H13" s="22"/>
      <c r="I13" s="22"/>
    </row>
    <row r="15" customFormat="false" ht="15" hidden="false" customHeight="true" outlineLevel="0" collapsed="false">
      <c r="A15" s="5" t="s">
        <v>64</v>
      </c>
      <c r="B15" s="5"/>
      <c r="C15" s="5"/>
      <c r="D15" s="5"/>
      <c r="E15" s="5"/>
      <c r="F15" s="5"/>
      <c r="G15" s="5"/>
      <c r="H15" s="6"/>
      <c r="I15" s="6"/>
    </row>
    <row r="16" customFormat="false" ht="15" hidden="false" customHeight="true" outlineLevel="0" collapsed="false">
      <c r="A16" s="7" t="s">
        <v>151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7" t="s">
        <v>152</v>
      </c>
      <c r="B17" s="27"/>
      <c r="C17" s="27"/>
      <c r="D17" s="27"/>
      <c r="E17" s="27"/>
      <c r="F17" s="27"/>
      <c r="G17" s="27"/>
      <c r="H17" s="27"/>
      <c r="I17" s="27"/>
    </row>
    <row r="18" customFormat="false" ht="15" hidden="false" customHeight="true" outlineLevel="0" collapsed="false">
      <c r="A18" s="7" t="s">
        <v>153</v>
      </c>
      <c r="B18" s="27"/>
      <c r="C18" s="27"/>
      <c r="D18" s="27"/>
      <c r="E18" s="27"/>
      <c r="F18" s="27"/>
      <c r="G18" s="27"/>
      <c r="H18" s="27"/>
      <c r="I18" s="27"/>
    </row>
    <row r="19" customFormat="false" ht="15" hidden="false" customHeight="true" outlineLevel="0" collapsed="false">
      <c r="A19" s="7" t="s">
        <v>29</v>
      </c>
      <c r="B19" s="28"/>
      <c r="C19" s="28"/>
      <c r="D19" s="28"/>
      <c r="E19" s="28"/>
      <c r="F19" s="28"/>
      <c r="G19" s="28"/>
      <c r="H19" s="28"/>
      <c r="I19" s="28"/>
    </row>
    <row r="20" customFormat="false" ht="15" hidden="false" customHeight="true" outlineLevel="0" collapsed="false">
      <c r="A20" s="7" t="s">
        <v>25</v>
      </c>
      <c r="B20" s="27"/>
      <c r="C20" s="27"/>
      <c r="D20" s="27"/>
      <c r="E20" s="27"/>
      <c r="F20" s="27"/>
      <c r="G20" s="27"/>
      <c r="H20" s="27"/>
      <c r="I20" s="27"/>
    </row>
    <row r="21" customFormat="false" ht="15" hidden="false" customHeight="true" outlineLevel="0" collapsed="false">
      <c r="A21" s="7" t="s">
        <v>154</v>
      </c>
      <c r="B21" s="28"/>
      <c r="C21" s="28"/>
      <c r="D21" s="28"/>
      <c r="E21" s="28"/>
      <c r="F21" s="28"/>
      <c r="G21" s="28"/>
      <c r="H21" s="28"/>
      <c r="I21" s="28"/>
    </row>
    <row r="22" customFormat="false" ht="15" hidden="false" customHeight="true" outlineLevel="0" collapsed="false">
      <c r="A22" s="7" t="s">
        <v>103</v>
      </c>
      <c r="B22" s="28"/>
      <c r="C22" s="28"/>
      <c r="D22" s="28"/>
      <c r="E22" s="28"/>
      <c r="F22" s="28"/>
      <c r="G22" s="28"/>
      <c r="H22" s="28"/>
      <c r="I22" s="28"/>
    </row>
    <row r="23" customFormat="false" ht="15" hidden="false" customHeight="true" outlineLevel="0" collapsed="false">
      <c r="A23" s="7" t="s">
        <v>155</v>
      </c>
      <c r="B23" s="37"/>
      <c r="C23" s="37"/>
      <c r="D23" s="37"/>
      <c r="E23" s="37"/>
      <c r="F23" s="37"/>
      <c r="G23" s="37"/>
      <c r="H23" s="37"/>
      <c r="I23" s="37"/>
    </row>
    <row r="24" customFormat="false" ht="15" hidden="false" customHeight="true" outlineLevel="0" collapsed="false">
      <c r="A24" s="7" t="s">
        <v>156</v>
      </c>
      <c r="B24" s="37"/>
      <c r="C24" s="37"/>
      <c r="D24" s="37"/>
      <c r="E24" s="37"/>
      <c r="F24" s="37"/>
      <c r="G24" s="37"/>
      <c r="H24" s="37"/>
      <c r="I24" s="37"/>
    </row>
    <row r="27" customFormat="false" ht="15" hidden="false" customHeight="true" outlineLevel="0" collapsed="false">
      <c r="A27" s="38" t="s">
        <v>157</v>
      </c>
      <c r="B27" s="38"/>
      <c r="C27" s="38"/>
      <c r="D27" s="38"/>
      <c r="E27" s="38"/>
      <c r="F27" s="38"/>
      <c r="G27" s="38"/>
    </row>
  </sheetData>
  <mergeCells count="5">
    <mergeCell ref="A1:G1"/>
    <mergeCell ref="A3:G3"/>
    <mergeCell ref="A9:G9"/>
    <mergeCell ref="A15:G15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2026-03-23T08:50:59Z</dcterms:created>
  <dc:creator>openpyxl</dc:creator>
  <dc:description/>
  <dc:language>en-US</dc:language>
  <cp:lastModifiedBy/>
  <dcterms:modified xsi:type="dcterms:W3CDTF">2026-03-26T13:27:24Z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